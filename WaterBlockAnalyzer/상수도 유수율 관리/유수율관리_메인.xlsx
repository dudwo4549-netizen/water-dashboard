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 입력" sheetId="1" state="visible" r:id="rId1"/>
    <sheet name="유수율 현황" sheetId="2" state="visible" r:id="rId2"/>
    <sheet name="종합 현황" sheetId="3" state="visible" r:id="rId3"/>
  </sheets>
  <definedNames>
    <definedName name="_xlnm.Print_Area" localSheetId="0">'데이터 입력'!$A$1:$O$21</definedName>
    <definedName name="_xlnm.Print_Area" localSheetId="1">'유수율 현황'!$A$1:$O$12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1F4E79"/>
      <sz val="10"/>
    </font>
    <font>
      <name val="맑은 고딕"/>
      <b val="1"/>
      <color rgb="00FFFFFF"/>
      <sz val="11"/>
    </font>
    <font>
      <name val="맑은 고딕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164" fontId="0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92D05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유수율 추이 (시스템 전체)</a:t>
            </a:r>
          </a:p>
        </rich>
      </tx>
    </title>
    <plotArea>
      <lineChart>
        <grouping val="standard"/>
        <ser>
          <idx val="0"/>
          <order val="0"/>
          <tx>
            <strRef>
              <f>'종합 현황'!B4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현황'!$A$5:$A$16</f>
            </numRef>
          </cat>
          <val>
            <numRef>
              <f>'종합 현황'!$B$5:$B$16</f>
            </numRef>
          </val>
        </ser>
        <ser>
          <idx val="1"/>
          <order val="1"/>
          <tx>
            <strRef>
              <f>'종합 현황'!C4</f>
            </strRef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현황'!$A$5:$A$16</f>
            </numRef>
          </cat>
          <val>
            <numRef>
              <f>'종합 현황'!$C$5:$C$16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5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유수율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급수구역별 연간 유수율 달성 현황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현황'!B19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'종합 현황'!$A$20:$A$27</f>
            </numRef>
          </cat>
          <val>
            <numRef>
              <f>'종합 현황'!$B$20:$B$27</f>
            </numRef>
          </val>
        </ser>
        <ser>
          <idx val="1"/>
          <order val="1"/>
          <tx>
            <strRef>
              <f>'종합 현황'!C19</f>
            </strRef>
          </tx>
          <spPr>
            <a:ln>
              <a:solidFill>
                <a:srgbClr val="FF0000"/>
              </a:solidFill>
              <a:prstDash val="solid"/>
            </a:ln>
          </spPr>
          <cat>
            <numRef>
              <f>'종합 현황'!$A$20:$A$27</f>
            </numRef>
          </cat>
          <val>
            <numRef>
              <f>'종합 현황'!$C$20:$C$27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5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유수율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30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4" customWidth="1" min="15" max="15"/>
  </cols>
  <sheetData>
    <row r="1" ht="32" customHeight="1">
      <c r="A1" s="1" t="inlineStr">
        <is>
          <t>상수도 유수율 관리 — 데이터 입력</t>
        </is>
      </c>
    </row>
    <row r="2" ht="36" customHeight="1">
      <c r="A2" s="2" t="inlineStr">
        <is>
          <t>급수구역</t>
        </is>
      </c>
      <c r="B2" s="2" t="inlineStr">
        <is>
          <t>1월</t>
        </is>
      </c>
      <c r="C2" s="2" t="inlineStr">
        <is>
          <t>2월</t>
        </is>
      </c>
      <c r="D2" s="2" t="inlineStr">
        <is>
          <t>3월</t>
        </is>
      </c>
      <c r="E2" s="2" t="inlineStr">
        <is>
          <t>4월</t>
        </is>
      </c>
      <c r="F2" s="2" t="inlineStr">
        <is>
          <t>5월</t>
        </is>
      </c>
      <c r="G2" s="2" t="inlineStr">
        <is>
          <t>6월</t>
        </is>
      </c>
      <c r="H2" s="2" t="inlineStr">
        <is>
          <t>7월</t>
        </is>
      </c>
      <c r="I2" s="2" t="inlineStr">
        <is>
          <t>8월</t>
        </is>
      </c>
      <c r="J2" s="2" t="inlineStr">
        <is>
          <t>9월</t>
        </is>
      </c>
      <c r="K2" s="2" t="inlineStr">
        <is>
          <t>10월</t>
        </is>
      </c>
      <c r="L2" s="2" t="inlineStr">
        <is>
          <t>11월</t>
        </is>
      </c>
      <c r="M2" s="2" t="inlineStr">
        <is>
          <t>12월</t>
        </is>
      </c>
      <c r="N2" s="2" t="inlineStr">
        <is>
          <t>연간합계</t>
        </is>
      </c>
      <c r="O2" s="2" t="inlineStr">
        <is>
          <t>목표유수율(%)</t>
        </is>
      </c>
    </row>
    <row r="3" ht="20" customHeight="1">
      <c r="A3" s="3" t="inlineStr">
        <is>
          <t>1구역 급수량(㎥)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SUM(B3:M3)</f>
        <v/>
      </c>
      <c r="O3" s="6" t="n">
        <v>85</v>
      </c>
    </row>
    <row r="4" ht="20" customHeight="1">
      <c r="A4" s="7" t="inlineStr">
        <is>
          <t>1구역 유수량(㎥)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SUM(B4:M4)</f>
        <v/>
      </c>
      <c r="O4" s="8" t="n"/>
    </row>
    <row r="5" ht="20" customHeight="1">
      <c r="A5" s="9" t="inlineStr">
        <is>
          <t>2구역 급수량(㎥)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5">
        <f>SUM(B5:M5)</f>
        <v/>
      </c>
      <c r="O5" s="6" t="n">
        <v>86</v>
      </c>
    </row>
    <row r="6" ht="20" customHeight="1">
      <c r="A6" s="11" t="inlineStr">
        <is>
          <t>2구역 유수량(㎥)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5">
        <f>SUM(B6:M6)</f>
        <v/>
      </c>
      <c r="O6" s="8" t="n"/>
    </row>
    <row r="7" ht="20" customHeight="1">
      <c r="A7" s="3" t="inlineStr">
        <is>
          <t>3구역 급수량(㎥)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SUM(B7:M7)</f>
        <v/>
      </c>
      <c r="O7" s="6" t="n">
        <v>84</v>
      </c>
    </row>
    <row r="8" ht="20" customHeight="1">
      <c r="A8" s="7" t="inlineStr">
        <is>
          <t>3구역 유수량(㎥)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SUM(B8:M8)</f>
        <v/>
      </c>
      <c r="O8" s="8" t="n"/>
    </row>
    <row r="9" ht="20" customHeight="1">
      <c r="A9" s="9" t="inlineStr">
        <is>
          <t>4구역 급수량(㎥)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5">
        <f>SUM(B9:M9)</f>
        <v/>
      </c>
      <c r="O9" s="6" t="n">
        <v>87</v>
      </c>
    </row>
    <row r="10" ht="20" customHeight="1">
      <c r="A10" s="11" t="inlineStr">
        <is>
          <t>4구역 유수량(㎥)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5">
        <f>SUM(B10:M10)</f>
        <v/>
      </c>
      <c r="O10" s="8" t="n"/>
    </row>
    <row r="11" ht="20" customHeight="1">
      <c r="A11" s="3" t="inlineStr">
        <is>
          <t>5구역 급수량(㎥)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SUM(B11:M11)</f>
        <v/>
      </c>
      <c r="O11" s="6" t="n">
        <v>85</v>
      </c>
    </row>
    <row r="12" ht="20" customHeight="1">
      <c r="A12" s="7" t="inlineStr">
        <is>
          <t>5구역 유수량(㎥)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>
        <f>SUM(B12:M12)</f>
        <v/>
      </c>
      <c r="O12" s="8" t="n"/>
    </row>
    <row r="13" ht="20" customHeight="1">
      <c r="A13" s="9" t="inlineStr">
        <is>
          <t>6구역 급수량(㎥)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5">
        <f>SUM(B13:M13)</f>
        <v/>
      </c>
      <c r="O13" s="6" t="n">
        <v>83</v>
      </c>
    </row>
    <row r="14" ht="20" customHeight="1">
      <c r="A14" s="11" t="inlineStr">
        <is>
          <t>6구역 유수량(㎥)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5">
        <f>SUM(B14:M14)</f>
        <v/>
      </c>
      <c r="O14" s="8" t="n"/>
    </row>
    <row r="15" ht="20" customHeight="1">
      <c r="A15" s="3" t="inlineStr">
        <is>
          <t>7구역 급수량(㎥)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SUM(B15:M15)</f>
        <v/>
      </c>
      <c r="O15" s="6" t="n">
        <v>86</v>
      </c>
    </row>
    <row r="16" ht="20" customHeight="1">
      <c r="A16" s="7" t="inlineStr">
        <is>
          <t>7구역 유수량(㎥)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>
        <f>SUM(B16:M16)</f>
        <v/>
      </c>
      <c r="O16" s="8" t="n"/>
    </row>
    <row r="17" ht="20" customHeight="1">
      <c r="A17" s="9" t="inlineStr">
        <is>
          <t>8구역 급수량(㎥)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5">
        <f>SUM(B17:M17)</f>
        <v/>
      </c>
      <c r="O17" s="6" t="n">
        <v>85</v>
      </c>
    </row>
    <row r="18" ht="20" customHeight="1">
      <c r="A18" s="11" t="inlineStr">
        <is>
          <t>8구역 유수량(㎥)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5">
        <f>SUM(B18:M18)</f>
        <v/>
      </c>
      <c r="O18" s="8" t="n"/>
    </row>
    <row r="19" ht="8" customHeight="1"/>
    <row r="20" ht="22" customHeight="1">
      <c r="A20" s="12" t="inlineStr">
        <is>
          <t>시스템 전체 급수량(㎥)</t>
        </is>
      </c>
      <c r="B20" s="13">
        <f>B3+B5+B7+B9+B11+B13+B15+B17</f>
        <v/>
      </c>
      <c r="C20" s="13">
        <f>C3+C5+C7+C9+C11+C13+C15+C17</f>
        <v/>
      </c>
      <c r="D20" s="13">
        <f>D3+D5+D7+D9+D11+D13+D15+D17</f>
        <v/>
      </c>
      <c r="E20" s="13">
        <f>E3+E5+E7+E9+E11+E13+E15+E17</f>
        <v/>
      </c>
      <c r="F20" s="13">
        <f>F3+F5+F7+F9+F11+F13+F15+F17</f>
        <v/>
      </c>
      <c r="G20" s="13">
        <f>G3+G5+G7+G9+G11+G13+G15+G17</f>
        <v/>
      </c>
      <c r="H20" s="13">
        <f>H3+H5+H7+H9+H11+H13+H15+H17</f>
        <v/>
      </c>
      <c r="I20" s="13">
        <f>I3+I5+I7+I9+I11+I13+I15+I17</f>
        <v/>
      </c>
      <c r="J20" s="13">
        <f>J3+J5+J7+J9+J11+J13+J15+J17</f>
        <v/>
      </c>
      <c r="K20" s="13">
        <f>K3+K5+K7+K9+K11+K13+K15+K17</f>
        <v/>
      </c>
      <c r="L20" s="13">
        <f>L3+L5+L7+L9+L11+L13+L15+L17</f>
        <v/>
      </c>
      <c r="M20" s="13">
        <f>M3+M5+M7+M9+M11+M13+M15+M17</f>
        <v/>
      </c>
      <c r="N20" s="13">
        <f>SUM(B20:M20)</f>
        <v/>
      </c>
      <c r="O20" s="14" t="n"/>
    </row>
    <row r="21" ht="22" customHeight="1">
      <c r="A21" s="12" t="inlineStr">
        <is>
          <t>시스템 전체 유수량(㎥)</t>
        </is>
      </c>
      <c r="B21" s="13">
        <f>B4+B6+B8+B10+B12+B14+B16+B18</f>
        <v/>
      </c>
      <c r="C21" s="13">
        <f>C4+C6+C8+C10+C12+C14+C16+C18</f>
        <v/>
      </c>
      <c r="D21" s="13">
        <f>D4+D6+D8+D10+D12+D14+D16+D18</f>
        <v/>
      </c>
      <c r="E21" s="13">
        <f>E4+E6+E8+E10+E12+E14+E16+E18</f>
        <v/>
      </c>
      <c r="F21" s="13">
        <f>F4+F6+F8+F10+F12+F14+F16+F18</f>
        <v/>
      </c>
      <c r="G21" s="13">
        <f>G4+G6+G8+G10+G12+G14+G16+G18</f>
        <v/>
      </c>
      <c r="H21" s="13">
        <f>H4+H6+H8+H10+H12+H14+H16+H18</f>
        <v/>
      </c>
      <c r="I21" s="13">
        <f>I4+I6+I8+I10+I12+I14+I16+I18</f>
        <v/>
      </c>
      <c r="J21" s="13">
        <f>J4+J6+J8+J10+J12+J14+J16+J18</f>
        <v/>
      </c>
      <c r="K21" s="13">
        <f>K4+K6+K8+K10+K12+K14+K16+K18</f>
        <v/>
      </c>
      <c r="L21" s="13">
        <f>L4+L6+L8+L10+L12+L14+L16+L18</f>
        <v/>
      </c>
      <c r="M21" s="13">
        <f>M4+M6+M8+M10+M12+M14+M16+M18</f>
        <v/>
      </c>
      <c r="N21" s="13">
        <f>SUM(B21:M21)</f>
        <v/>
      </c>
      <c r="O21" s="14" t="n"/>
    </row>
  </sheetData>
  <mergeCells count="1">
    <mergeCell ref="A1:O1"/>
  </mergeCells>
  <dataValidations count="2">
    <dataValidation sqref="B3:M18" showDropDown="0" showInputMessage="0" showErrorMessage="1" allowBlank="1" errorTitle="입력 오류" error="0 이상의 숫자를 입력하세요." promptTitle="급수량/유수량 입력" prompt="단위: ㎥, 0 이상 숫자" type="decimal" operator="greaterThanOrEqual">
      <formula1>0</formula1>
    </dataValidation>
    <dataValidation sqref="O3 O5 O7 O9 O11 O13 O15 O17" showDropDown="0" showInputMessage="0" showErrorMessage="1" allowBlank="0" errorTitle="목표유수율 오류" error="0~100 사이 값을 입력하세요." promptTitle="목표유수율 입력" prompt="단위: %, 예) 85.0" type="decimal" operator="between">
      <formula1>0</formula1>
      <formula2>100</formula2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O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4" customWidth="1" min="15" max="15"/>
  </cols>
  <sheetData>
    <row r="1" ht="32" customHeight="1">
      <c r="A1" s="1" t="inlineStr">
        <is>
          <t>상수도 유수율 현황</t>
        </is>
      </c>
    </row>
    <row r="2" ht="36" customHeight="1">
      <c r="A2" s="2" t="inlineStr">
        <is>
          <t>급수구역</t>
        </is>
      </c>
      <c r="B2" s="2" t="inlineStr">
        <is>
          <t>1월</t>
        </is>
      </c>
      <c r="C2" s="2" t="inlineStr">
        <is>
          <t>2월</t>
        </is>
      </c>
      <c r="D2" s="2" t="inlineStr">
        <is>
          <t>3월</t>
        </is>
      </c>
      <c r="E2" s="2" t="inlineStr">
        <is>
          <t>4월</t>
        </is>
      </c>
      <c r="F2" s="2" t="inlineStr">
        <is>
          <t>5월</t>
        </is>
      </c>
      <c r="G2" s="2" t="inlineStr">
        <is>
          <t>6월</t>
        </is>
      </c>
      <c r="H2" s="2" t="inlineStr">
        <is>
          <t>7월</t>
        </is>
      </c>
      <c r="I2" s="2" t="inlineStr">
        <is>
          <t>8월</t>
        </is>
      </c>
      <c r="J2" s="2" t="inlineStr">
        <is>
          <t>9월</t>
        </is>
      </c>
      <c r="K2" s="2" t="inlineStr">
        <is>
          <t>10월</t>
        </is>
      </c>
      <c r="L2" s="2" t="inlineStr">
        <is>
          <t>11월</t>
        </is>
      </c>
      <c r="M2" s="2" t="inlineStr">
        <is>
          <t>12월</t>
        </is>
      </c>
      <c r="N2" s="2" t="inlineStr">
        <is>
          <t>연간평균(%)</t>
        </is>
      </c>
      <c r="O2" s="2" t="inlineStr">
        <is>
          <t>목표유수율(%)</t>
        </is>
      </c>
    </row>
    <row r="3" ht="22" customHeight="1">
      <c r="A3" s="3" t="inlineStr">
        <is>
          <t>1구역</t>
        </is>
      </c>
      <c r="B3" s="15">
        <f>IF('데이터 입력'!B3=0,"",'데이터 입력'!B4/'데이터 입력'!B3*100)</f>
        <v/>
      </c>
      <c r="C3" s="15">
        <f>IF('데이터 입력'!C3=0,"",'데이터 입력'!C4/'데이터 입력'!C3*100)</f>
        <v/>
      </c>
      <c r="D3" s="15">
        <f>IF('데이터 입력'!D3=0,"",'데이터 입력'!D4/'데이터 입력'!D3*100)</f>
        <v/>
      </c>
      <c r="E3" s="15">
        <f>IF('데이터 입력'!E3=0,"",'데이터 입력'!E4/'데이터 입력'!E3*100)</f>
        <v/>
      </c>
      <c r="F3" s="15">
        <f>IF('데이터 입력'!F3=0,"",'데이터 입력'!F4/'데이터 입력'!F3*100)</f>
        <v/>
      </c>
      <c r="G3" s="15">
        <f>IF('데이터 입력'!G3=0,"",'데이터 입력'!G4/'데이터 입력'!G3*100)</f>
        <v/>
      </c>
      <c r="H3" s="15">
        <f>IF('데이터 입력'!H3=0,"",'데이터 입력'!H4/'데이터 입력'!H3*100)</f>
        <v/>
      </c>
      <c r="I3" s="15">
        <f>IF('데이터 입력'!I3=0,"",'데이터 입력'!I4/'데이터 입력'!I3*100)</f>
        <v/>
      </c>
      <c r="J3" s="15">
        <f>IF('데이터 입력'!J3=0,"",'데이터 입력'!J4/'데이터 입력'!J3*100)</f>
        <v/>
      </c>
      <c r="K3" s="15">
        <f>IF('데이터 입력'!K3=0,"",'데이터 입력'!K4/'데이터 입력'!K3*100)</f>
        <v/>
      </c>
      <c r="L3" s="15">
        <f>IF('데이터 입력'!L3=0,"",'데이터 입력'!L4/'데이터 입력'!L3*100)</f>
        <v/>
      </c>
      <c r="M3" s="15">
        <f>IF('데이터 입력'!M3=0,"",'데이터 입력'!M4/'데이터 입력'!M3*100)</f>
        <v/>
      </c>
      <c r="N3" s="16">
        <f>IFERROR(AVERAGEIF(B3:M3,"&lt;&gt;"""),"")</f>
        <v/>
      </c>
      <c r="O3" s="6">
        <f>'데이터 입력'!O3</f>
        <v/>
      </c>
    </row>
    <row r="4" ht="22" customHeight="1">
      <c r="A4" s="9" t="inlineStr">
        <is>
          <t>2구역</t>
        </is>
      </c>
      <c r="B4" s="17">
        <f>IF('데이터 입력'!B5=0,"",'데이터 입력'!B6/'데이터 입력'!B5*100)</f>
        <v/>
      </c>
      <c r="C4" s="17">
        <f>IF('데이터 입력'!C5=0,"",'데이터 입력'!C6/'데이터 입력'!C5*100)</f>
        <v/>
      </c>
      <c r="D4" s="17">
        <f>IF('데이터 입력'!D5=0,"",'데이터 입력'!D6/'데이터 입력'!D5*100)</f>
        <v/>
      </c>
      <c r="E4" s="17">
        <f>IF('데이터 입력'!E5=0,"",'데이터 입력'!E6/'데이터 입력'!E5*100)</f>
        <v/>
      </c>
      <c r="F4" s="17">
        <f>IF('데이터 입력'!F5=0,"",'데이터 입력'!F6/'데이터 입력'!F5*100)</f>
        <v/>
      </c>
      <c r="G4" s="17">
        <f>IF('데이터 입력'!G5=0,"",'데이터 입력'!G6/'데이터 입력'!G5*100)</f>
        <v/>
      </c>
      <c r="H4" s="17">
        <f>IF('데이터 입력'!H5=0,"",'데이터 입력'!H6/'데이터 입력'!H5*100)</f>
        <v/>
      </c>
      <c r="I4" s="17">
        <f>IF('데이터 입력'!I5=0,"",'데이터 입력'!I6/'데이터 입력'!I5*100)</f>
        <v/>
      </c>
      <c r="J4" s="17">
        <f>IF('데이터 입력'!J5=0,"",'데이터 입력'!J6/'데이터 입력'!J5*100)</f>
        <v/>
      </c>
      <c r="K4" s="17">
        <f>IF('데이터 입력'!K5=0,"",'데이터 입력'!K6/'데이터 입력'!K5*100)</f>
        <v/>
      </c>
      <c r="L4" s="17">
        <f>IF('데이터 입력'!L5=0,"",'데이터 입력'!L6/'데이터 입력'!L5*100)</f>
        <v/>
      </c>
      <c r="M4" s="17">
        <f>IF('데이터 입력'!M5=0,"",'데이터 입력'!M6/'데이터 입력'!M5*100)</f>
        <v/>
      </c>
      <c r="N4" s="16">
        <f>IFERROR(AVERAGEIF(B4:M4,"&lt;&gt;"""),"")</f>
        <v/>
      </c>
      <c r="O4" s="6">
        <f>'데이터 입력'!O5</f>
        <v/>
      </c>
    </row>
    <row r="5" ht="22" customHeight="1">
      <c r="A5" s="3" t="inlineStr">
        <is>
          <t>3구역</t>
        </is>
      </c>
      <c r="B5" s="15">
        <f>IF('데이터 입력'!B7=0,"",'데이터 입력'!B8/'데이터 입력'!B7*100)</f>
        <v/>
      </c>
      <c r="C5" s="15">
        <f>IF('데이터 입력'!C7=0,"",'데이터 입력'!C8/'데이터 입력'!C7*100)</f>
        <v/>
      </c>
      <c r="D5" s="15">
        <f>IF('데이터 입력'!D7=0,"",'데이터 입력'!D8/'데이터 입력'!D7*100)</f>
        <v/>
      </c>
      <c r="E5" s="15">
        <f>IF('데이터 입력'!E7=0,"",'데이터 입력'!E8/'데이터 입력'!E7*100)</f>
        <v/>
      </c>
      <c r="F5" s="15">
        <f>IF('데이터 입력'!F7=0,"",'데이터 입력'!F8/'데이터 입력'!F7*100)</f>
        <v/>
      </c>
      <c r="G5" s="15">
        <f>IF('데이터 입력'!G7=0,"",'데이터 입력'!G8/'데이터 입력'!G7*100)</f>
        <v/>
      </c>
      <c r="H5" s="15">
        <f>IF('데이터 입력'!H7=0,"",'데이터 입력'!H8/'데이터 입력'!H7*100)</f>
        <v/>
      </c>
      <c r="I5" s="15">
        <f>IF('데이터 입력'!I7=0,"",'데이터 입력'!I8/'데이터 입력'!I7*100)</f>
        <v/>
      </c>
      <c r="J5" s="15">
        <f>IF('데이터 입력'!J7=0,"",'데이터 입력'!J8/'데이터 입력'!J7*100)</f>
        <v/>
      </c>
      <c r="K5" s="15">
        <f>IF('데이터 입력'!K7=0,"",'데이터 입력'!K8/'데이터 입력'!K7*100)</f>
        <v/>
      </c>
      <c r="L5" s="15">
        <f>IF('데이터 입력'!L7=0,"",'데이터 입력'!L8/'데이터 입력'!L7*100)</f>
        <v/>
      </c>
      <c r="M5" s="15">
        <f>IF('데이터 입력'!M7=0,"",'데이터 입력'!M8/'데이터 입력'!M7*100)</f>
        <v/>
      </c>
      <c r="N5" s="16">
        <f>IFERROR(AVERAGEIF(B5:M5,"&lt;&gt;"""),"")</f>
        <v/>
      </c>
      <c r="O5" s="6">
        <f>'데이터 입력'!O7</f>
        <v/>
      </c>
    </row>
    <row r="6" ht="22" customHeight="1">
      <c r="A6" s="9" t="inlineStr">
        <is>
          <t>4구역</t>
        </is>
      </c>
      <c r="B6" s="17">
        <f>IF('데이터 입력'!B9=0,"",'데이터 입력'!B10/'데이터 입력'!B9*100)</f>
        <v/>
      </c>
      <c r="C6" s="17">
        <f>IF('데이터 입력'!C9=0,"",'데이터 입력'!C10/'데이터 입력'!C9*100)</f>
        <v/>
      </c>
      <c r="D6" s="17">
        <f>IF('데이터 입력'!D9=0,"",'데이터 입력'!D10/'데이터 입력'!D9*100)</f>
        <v/>
      </c>
      <c r="E6" s="17">
        <f>IF('데이터 입력'!E9=0,"",'데이터 입력'!E10/'데이터 입력'!E9*100)</f>
        <v/>
      </c>
      <c r="F6" s="17">
        <f>IF('데이터 입력'!F9=0,"",'데이터 입력'!F10/'데이터 입력'!F9*100)</f>
        <v/>
      </c>
      <c r="G6" s="17">
        <f>IF('데이터 입력'!G9=0,"",'데이터 입력'!G10/'데이터 입력'!G9*100)</f>
        <v/>
      </c>
      <c r="H6" s="17">
        <f>IF('데이터 입력'!H9=0,"",'데이터 입력'!H10/'데이터 입력'!H9*100)</f>
        <v/>
      </c>
      <c r="I6" s="17">
        <f>IF('데이터 입력'!I9=0,"",'데이터 입력'!I10/'데이터 입력'!I9*100)</f>
        <v/>
      </c>
      <c r="J6" s="17">
        <f>IF('데이터 입력'!J9=0,"",'데이터 입력'!J10/'데이터 입력'!J9*100)</f>
        <v/>
      </c>
      <c r="K6" s="17">
        <f>IF('데이터 입력'!K9=0,"",'데이터 입력'!K10/'데이터 입력'!K9*100)</f>
        <v/>
      </c>
      <c r="L6" s="17">
        <f>IF('데이터 입력'!L9=0,"",'데이터 입력'!L10/'데이터 입력'!L9*100)</f>
        <v/>
      </c>
      <c r="M6" s="17">
        <f>IF('데이터 입력'!M9=0,"",'데이터 입력'!M10/'데이터 입력'!M9*100)</f>
        <v/>
      </c>
      <c r="N6" s="16">
        <f>IFERROR(AVERAGEIF(B6:M6,"&lt;&gt;"""),"")</f>
        <v/>
      </c>
      <c r="O6" s="6">
        <f>'데이터 입력'!O9</f>
        <v/>
      </c>
    </row>
    <row r="7" ht="22" customHeight="1">
      <c r="A7" s="3" t="inlineStr">
        <is>
          <t>5구역</t>
        </is>
      </c>
      <c r="B7" s="15">
        <f>IF('데이터 입력'!B11=0,"",'데이터 입력'!B12/'데이터 입력'!B11*100)</f>
        <v/>
      </c>
      <c r="C7" s="15">
        <f>IF('데이터 입력'!C11=0,"",'데이터 입력'!C12/'데이터 입력'!C11*100)</f>
        <v/>
      </c>
      <c r="D7" s="15">
        <f>IF('데이터 입력'!D11=0,"",'데이터 입력'!D12/'데이터 입력'!D11*100)</f>
        <v/>
      </c>
      <c r="E7" s="15">
        <f>IF('데이터 입력'!E11=0,"",'데이터 입력'!E12/'데이터 입력'!E11*100)</f>
        <v/>
      </c>
      <c r="F7" s="15">
        <f>IF('데이터 입력'!F11=0,"",'데이터 입력'!F12/'데이터 입력'!F11*100)</f>
        <v/>
      </c>
      <c r="G7" s="15">
        <f>IF('데이터 입력'!G11=0,"",'데이터 입력'!G12/'데이터 입력'!G11*100)</f>
        <v/>
      </c>
      <c r="H7" s="15">
        <f>IF('데이터 입력'!H11=0,"",'데이터 입력'!H12/'데이터 입력'!H11*100)</f>
        <v/>
      </c>
      <c r="I7" s="15">
        <f>IF('데이터 입력'!I11=0,"",'데이터 입력'!I12/'데이터 입력'!I11*100)</f>
        <v/>
      </c>
      <c r="J7" s="15">
        <f>IF('데이터 입력'!J11=0,"",'데이터 입력'!J12/'데이터 입력'!J11*100)</f>
        <v/>
      </c>
      <c r="K7" s="15">
        <f>IF('데이터 입력'!K11=0,"",'데이터 입력'!K12/'데이터 입력'!K11*100)</f>
        <v/>
      </c>
      <c r="L7" s="15">
        <f>IF('데이터 입력'!L11=0,"",'데이터 입력'!L12/'데이터 입력'!L11*100)</f>
        <v/>
      </c>
      <c r="M7" s="15">
        <f>IF('데이터 입력'!M11=0,"",'데이터 입력'!M12/'데이터 입력'!M11*100)</f>
        <v/>
      </c>
      <c r="N7" s="16">
        <f>IFERROR(AVERAGEIF(B7:M7,"&lt;&gt;"""),"")</f>
        <v/>
      </c>
      <c r="O7" s="6">
        <f>'데이터 입력'!O11</f>
        <v/>
      </c>
    </row>
    <row r="8" ht="22" customHeight="1">
      <c r="A8" s="9" t="inlineStr">
        <is>
          <t>6구역</t>
        </is>
      </c>
      <c r="B8" s="17">
        <f>IF('데이터 입력'!B13=0,"",'데이터 입력'!B14/'데이터 입력'!B13*100)</f>
        <v/>
      </c>
      <c r="C8" s="17">
        <f>IF('데이터 입력'!C13=0,"",'데이터 입력'!C14/'데이터 입력'!C13*100)</f>
        <v/>
      </c>
      <c r="D8" s="17">
        <f>IF('데이터 입력'!D13=0,"",'데이터 입력'!D14/'데이터 입력'!D13*100)</f>
        <v/>
      </c>
      <c r="E8" s="17">
        <f>IF('데이터 입력'!E13=0,"",'데이터 입력'!E14/'데이터 입력'!E13*100)</f>
        <v/>
      </c>
      <c r="F8" s="17">
        <f>IF('데이터 입력'!F13=0,"",'데이터 입력'!F14/'데이터 입력'!F13*100)</f>
        <v/>
      </c>
      <c r="G8" s="17">
        <f>IF('데이터 입력'!G13=0,"",'데이터 입력'!G14/'데이터 입력'!G13*100)</f>
        <v/>
      </c>
      <c r="H8" s="17">
        <f>IF('데이터 입력'!H13=0,"",'데이터 입력'!H14/'데이터 입력'!H13*100)</f>
        <v/>
      </c>
      <c r="I8" s="17">
        <f>IF('데이터 입력'!I13=0,"",'데이터 입력'!I14/'데이터 입력'!I13*100)</f>
        <v/>
      </c>
      <c r="J8" s="17">
        <f>IF('데이터 입력'!J13=0,"",'데이터 입력'!J14/'데이터 입력'!J13*100)</f>
        <v/>
      </c>
      <c r="K8" s="17">
        <f>IF('데이터 입력'!K13=0,"",'데이터 입력'!K14/'데이터 입력'!K13*100)</f>
        <v/>
      </c>
      <c r="L8" s="17">
        <f>IF('데이터 입력'!L13=0,"",'데이터 입력'!L14/'데이터 입력'!L13*100)</f>
        <v/>
      </c>
      <c r="M8" s="17">
        <f>IF('데이터 입력'!M13=0,"",'데이터 입력'!M14/'데이터 입력'!M13*100)</f>
        <v/>
      </c>
      <c r="N8" s="16">
        <f>IFERROR(AVERAGEIF(B8:M8,"&lt;&gt;"""),"")</f>
        <v/>
      </c>
      <c r="O8" s="6">
        <f>'데이터 입력'!O13</f>
        <v/>
      </c>
    </row>
    <row r="9" ht="22" customHeight="1">
      <c r="A9" s="3" t="inlineStr">
        <is>
          <t>7구역</t>
        </is>
      </c>
      <c r="B9" s="15">
        <f>IF('데이터 입력'!B15=0,"",'데이터 입력'!B16/'데이터 입력'!B15*100)</f>
        <v/>
      </c>
      <c r="C9" s="15">
        <f>IF('데이터 입력'!C15=0,"",'데이터 입력'!C16/'데이터 입력'!C15*100)</f>
        <v/>
      </c>
      <c r="D9" s="15">
        <f>IF('데이터 입력'!D15=0,"",'데이터 입력'!D16/'데이터 입력'!D15*100)</f>
        <v/>
      </c>
      <c r="E9" s="15">
        <f>IF('데이터 입력'!E15=0,"",'데이터 입력'!E16/'데이터 입력'!E15*100)</f>
        <v/>
      </c>
      <c r="F9" s="15">
        <f>IF('데이터 입력'!F15=0,"",'데이터 입력'!F16/'데이터 입력'!F15*100)</f>
        <v/>
      </c>
      <c r="G9" s="15">
        <f>IF('데이터 입력'!G15=0,"",'데이터 입력'!G16/'데이터 입력'!G15*100)</f>
        <v/>
      </c>
      <c r="H9" s="15">
        <f>IF('데이터 입력'!H15=0,"",'데이터 입력'!H16/'데이터 입력'!H15*100)</f>
        <v/>
      </c>
      <c r="I9" s="15">
        <f>IF('데이터 입력'!I15=0,"",'데이터 입력'!I16/'데이터 입력'!I15*100)</f>
        <v/>
      </c>
      <c r="J9" s="15">
        <f>IF('데이터 입력'!J15=0,"",'데이터 입력'!J16/'데이터 입력'!J15*100)</f>
        <v/>
      </c>
      <c r="K9" s="15">
        <f>IF('데이터 입력'!K15=0,"",'데이터 입력'!K16/'데이터 입력'!K15*100)</f>
        <v/>
      </c>
      <c r="L9" s="15">
        <f>IF('데이터 입력'!L15=0,"",'데이터 입력'!L16/'데이터 입력'!L15*100)</f>
        <v/>
      </c>
      <c r="M9" s="15">
        <f>IF('데이터 입력'!M15=0,"",'데이터 입력'!M16/'데이터 입력'!M15*100)</f>
        <v/>
      </c>
      <c r="N9" s="16">
        <f>IFERROR(AVERAGEIF(B9:M9,"&lt;&gt;"""),"")</f>
        <v/>
      </c>
      <c r="O9" s="6">
        <f>'데이터 입력'!O15</f>
        <v/>
      </c>
    </row>
    <row r="10" ht="22" customHeight="1">
      <c r="A10" s="9" t="inlineStr">
        <is>
          <t>8구역</t>
        </is>
      </c>
      <c r="B10" s="17">
        <f>IF('데이터 입력'!B17=0,"",'데이터 입력'!B18/'데이터 입력'!B17*100)</f>
        <v/>
      </c>
      <c r="C10" s="17">
        <f>IF('데이터 입력'!C17=0,"",'데이터 입력'!C18/'데이터 입력'!C17*100)</f>
        <v/>
      </c>
      <c r="D10" s="17">
        <f>IF('데이터 입력'!D17=0,"",'데이터 입력'!D18/'데이터 입력'!D17*100)</f>
        <v/>
      </c>
      <c r="E10" s="17">
        <f>IF('데이터 입력'!E17=0,"",'데이터 입력'!E18/'데이터 입력'!E17*100)</f>
        <v/>
      </c>
      <c r="F10" s="17">
        <f>IF('데이터 입력'!F17=0,"",'데이터 입력'!F18/'데이터 입력'!F17*100)</f>
        <v/>
      </c>
      <c r="G10" s="17">
        <f>IF('데이터 입력'!G17=0,"",'데이터 입력'!G18/'데이터 입력'!G17*100)</f>
        <v/>
      </c>
      <c r="H10" s="17">
        <f>IF('데이터 입력'!H17=0,"",'데이터 입력'!H18/'데이터 입력'!H17*100)</f>
        <v/>
      </c>
      <c r="I10" s="17">
        <f>IF('데이터 입력'!I17=0,"",'데이터 입력'!I18/'데이터 입력'!I17*100)</f>
        <v/>
      </c>
      <c r="J10" s="17">
        <f>IF('데이터 입력'!J17=0,"",'데이터 입력'!J18/'데이터 입력'!J17*100)</f>
        <v/>
      </c>
      <c r="K10" s="17">
        <f>IF('데이터 입력'!K17=0,"",'데이터 입력'!K18/'데이터 입력'!K17*100)</f>
        <v/>
      </c>
      <c r="L10" s="17">
        <f>IF('데이터 입력'!L17=0,"",'데이터 입력'!L18/'데이터 입력'!L17*100)</f>
        <v/>
      </c>
      <c r="M10" s="17">
        <f>IF('데이터 입력'!M17=0,"",'데이터 입력'!M18/'데이터 입력'!M17*100)</f>
        <v/>
      </c>
      <c r="N10" s="16">
        <f>IFERROR(AVERAGEIF(B10:M10,"&lt;&gt;"""),"")</f>
        <v/>
      </c>
      <c r="O10" s="6">
        <f>'데이터 입력'!O17</f>
        <v/>
      </c>
    </row>
    <row r="11" ht="8" customHeight="1"/>
    <row r="12" ht="22" customHeight="1">
      <c r="A12" s="12" t="inlineStr">
        <is>
          <t>시스템 전체</t>
        </is>
      </c>
      <c r="B12" s="18">
        <f>IF(('데이터 입력'!B3+'데이터 입력'!B5+'데이터 입력'!B7+'데이터 입력'!B9+'데이터 입력'!B11+'데이터 입력'!B13+'데이터 입력'!B15+'데이터 입력'!B17)=0,"",('데이터 입력'!B4+'데이터 입력'!B6+'데이터 입력'!B8+'데이터 입력'!B10+'데이터 입력'!B12+'데이터 입력'!B14+'데이터 입력'!B16+'데이터 입력'!B18)/('데이터 입력'!B3+'데이터 입력'!B5+'데이터 입력'!B7+'데이터 입력'!B9+'데이터 입력'!B11+'데이터 입력'!B13+'데이터 입력'!B15+'데이터 입력'!B17)*100)</f>
        <v/>
      </c>
      <c r="C12" s="18">
        <f>IF(('데이터 입력'!C3+'데이터 입력'!C5+'데이터 입력'!C7+'데이터 입력'!C9+'데이터 입력'!C11+'데이터 입력'!C13+'데이터 입력'!C15+'데이터 입력'!C17)=0,"",('데이터 입력'!C4+'데이터 입력'!C6+'데이터 입력'!C8+'데이터 입력'!C10+'데이터 입력'!C12+'데이터 입력'!C14+'데이터 입력'!C16+'데이터 입력'!C18)/('데이터 입력'!C3+'데이터 입력'!C5+'데이터 입력'!C7+'데이터 입력'!C9+'데이터 입력'!C11+'데이터 입력'!C13+'데이터 입력'!C15+'데이터 입력'!C17)*100)</f>
        <v/>
      </c>
      <c r="D12" s="18">
        <f>IF(('데이터 입력'!D3+'데이터 입력'!D5+'데이터 입력'!D7+'데이터 입력'!D9+'데이터 입력'!D11+'데이터 입력'!D13+'데이터 입력'!D15+'데이터 입력'!D17)=0,"",('데이터 입력'!D4+'데이터 입력'!D6+'데이터 입력'!D8+'데이터 입력'!D10+'데이터 입력'!D12+'데이터 입력'!D14+'데이터 입력'!D16+'데이터 입력'!D18)/('데이터 입력'!D3+'데이터 입력'!D5+'데이터 입력'!D7+'데이터 입력'!D9+'데이터 입력'!D11+'데이터 입력'!D13+'데이터 입력'!D15+'데이터 입력'!D17)*100)</f>
        <v/>
      </c>
      <c r="E12" s="18">
        <f>IF(('데이터 입력'!E3+'데이터 입력'!E5+'데이터 입력'!E7+'데이터 입력'!E9+'데이터 입력'!E11+'데이터 입력'!E13+'데이터 입력'!E15+'데이터 입력'!E17)=0,"",('데이터 입력'!E4+'데이터 입력'!E6+'데이터 입력'!E8+'데이터 입력'!E10+'데이터 입력'!E12+'데이터 입력'!E14+'데이터 입력'!E16+'데이터 입력'!E18)/('데이터 입력'!E3+'데이터 입력'!E5+'데이터 입력'!E7+'데이터 입력'!E9+'데이터 입력'!E11+'데이터 입력'!E13+'데이터 입력'!E15+'데이터 입력'!E17)*100)</f>
        <v/>
      </c>
      <c r="F12" s="18">
        <f>IF(('데이터 입력'!F3+'데이터 입력'!F5+'데이터 입력'!F7+'데이터 입력'!F9+'데이터 입력'!F11+'데이터 입력'!F13+'데이터 입력'!F15+'데이터 입력'!F17)=0,"",('데이터 입력'!F4+'데이터 입력'!F6+'데이터 입력'!F8+'데이터 입력'!F10+'데이터 입력'!F12+'데이터 입력'!F14+'데이터 입력'!F16+'데이터 입력'!F18)/('데이터 입력'!F3+'데이터 입력'!F5+'데이터 입력'!F7+'데이터 입력'!F9+'데이터 입력'!F11+'데이터 입력'!F13+'데이터 입력'!F15+'데이터 입력'!F17)*100)</f>
        <v/>
      </c>
      <c r="G12" s="18">
        <f>IF(('데이터 입력'!G3+'데이터 입력'!G5+'데이터 입력'!G7+'데이터 입력'!G9+'데이터 입력'!G11+'데이터 입력'!G13+'데이터 입력'!G15+'데이터 입력'!G17)=0,"",('데이터 입력'!G4+'데이터 입력'!G6+'데이터 입력'!G8+'데이터 입력'!G10+'데이터 입력'!G12+'데이터 입력'!G14+'데이터 입력'!G16+'데이터 입력'!G18)/('데이터 입력'!G3+'데이터 입력'!G5+'데이터 입력'!G7+'데이터 입력'!G9+'데이터 입력'!G11+'데이터 입력'!G13+'데이터 입력'!G15+'데이터 입력'!G17)*100)</f>
        <v/>
      </c>
      <c r="H12" s="18">
        <f>IF(('데이터 입력'!H3+'데이터 입력'!H5+'데이터 입력'!H7+'데이터 입력'!H9+'데이터 입력'!H11+'데이터 입력'!H13+'데이터 입력'!H15+'데이터 입력'!H17)=0,"",('데이터 입력'!H4+'데이터 입력'!H6+'데이터 입력'!H8+'데이터 입력'!H10+'데이터 입력'!H12+'데이터 입력'!H14+'데이터 입력'!H16+'데이터 입력'!H18)/('데이터 입력'!H3+'데이터 입력'!H5+'데이터 입력'!H7+'데이터 입력'!H9+'데이터 입력'!H11+'데이터 입력'!H13+'데이터 입력'!H15+'데이터 입력'!H17)*100)</f>
        <v/>
      </c>
      <c r="I12" s="18">
        <f>IF(('데이터 입력'!I3+'데이터 입력'!I5+'데이터 입력'!I7+'데이터 입력'!I9+'데이터 입력'!I11+'데이터 입력'!I13+'데이터 입력'!I15+'데이터 입력'!I17)=0,"",('데이터 입력'!I4+'데이터 입력'!I6+'데이터 입력'!I8+'데이터 입력'!I10+'데이터 입력'!I12+'데이터 입력'!I14+'데이터 입력'!I16+'데이터 입력'!I18)/('데이터 입력'!I3+'데이터 입력'!I5+'데이터 입력'!I7+'데이터 입력'!I9+'데이터 입력'!I11+'데이터 입력'!I13+'데이터 입력'!I15+'데이터 입력'!I17)*100)</f>
        <v/>
      </c>
      <c r="J12" s="18">
        <f>IF(('데이터 입력'!J3+'데이터 입력'!J5+'데이터 입력'!J7+'데이터 입력'!J9+'데이터 입력'!J11+'데이터 입력'!J13+'데이터 입력'!J15+'데이터 입력'!J17)=0,"",('데이터 입력'!J4+'데이터 입력'!J6+'데이터 입력'!J8+'데이터 입력'!J10+'데이터 입력'!J12+'데이터 입력'!J14+'데이터 입력'!J16+'데이터 입력'!J18)/('데이터 입력'!J3+'데이터 입력'!J5+'데이터 입력'!J7+'데이터 입력'!J9+'데이터 입력'!J11+'데이터 입력'!J13+'데이터 입력'!J15+'데이터 입력'!J17)*100)</f>
        <v/>
      </c>
      <c r="K12" s="18">
        <f>IF(('데이터 입력'!K3+'데이터 입력'!K5+'데이터 입력'!K7+'데이터 입력'!K9+'데이터 입력'!K11+'데이터 입력'!K13+'데이터 입력'!K15+'데이터 입력'!K17)=0,"",('데이터 입력'!K4+'데이터 입력'!K6+'데이터 입력'!K8+'데이터 입력'!K10+'데이터 입력'!K12+'데이터 입력'!K14+'데이터 입력'!K16+'데이터 입력'!K18)/('데이터 입력'!K3+'데이터 입력'!K5+'데이터 입력'!K7+'데이터 입력'!K9+'데이터 입력'!K11+'데이터 입력'!K13+'데이터 입력'!K15+'데이터 입력'!K17)*100)</f>
        <v/>
      </c>
      <c r="L12" s="18">
        <f>IF(('데이터 입력'!L3+'데이터 입력'!L5+'데이터 입력'!L7+'데이터 입력'!L9+'데이터 입력'!L11+'데이터 입력'!L13+'데이터 입력'!L15+'데이터 입력'!L17)=0,"",('데이터 입력'!L4+'데이터 입력'!L6+'데이터 입력'!L8+'데이터 입력'!L10+'데이터 입력'!L12+'데이터 입력'!L14+'데이터 입력'!L16+'데이터 입력'!L18)/('데이터 입력'!L3+'데이터 입력'!L5+'데이터 입력'!L7+'데이터 입력'!L9+'데이터 입력'!L11+'데이터 입력'!L13+'데이터 입력'!L15+'데이터 입력'!L17)*100)</f>
        <v/>
      </c>
      <c r="M12" s="18">
        <f>IF(('데이터 입력'!M3+'데이터 입력'!M5+'데이터 입력'!M7+'데이터 입력'!M9+'데이터 입력'!M11+'데이터 입력'!M13+'데이터 입력'!M15+'데이터 입력'!M17)=0,"",('데이터 입력'!M4+'데이터 입력'!M6+'데이터 입력'!M8+'데이터 입력'!M10+'데이터 입력'!M12+'데이터 입력'!M14+'데이터 입력'!M16+'데이터 입력'!M18)/('데이터 입력'!M3+'데이터 입력'!M5+'데이터 입력'!M7+'데이터 입력'!M9+'데이터 입력'!M11+'데이터 입력'!M13+'데이터 입력'!M15+'데이터 입력'!M17)*100)</f>
        <v/>
      </c>
      <c r="N12" s="18">
        <f>IFERROR(AVERAGEIF(B12:M12,"&lt;&gt;"""),"")</f>
        <v/>
      </c>
      <c r="O12" s="14" t="n"/>
    </row>
  </sheetData>
  <mergeCells count="1">
    <mergeCell ref="A1:O1"/>
  </mergeCells>
  <conditionalFormatting sqref="B3:M10">
    <cfRule type="expression" priority="1" dxfId="0" stopIfTrue="1">
      <formula>AND(B3&lt;&gt;"",B3&gt;=$O3)</formula>
    </cfRule>
    <cfRule type="expression" priority="2" dxfId="1" stopIfTrue="1">
      <formula>AND(B3&lt;&gt;"",B3&gt;=$O3-5,B3&lt;$O3)</formula>
    </cfRule>
    <cfRule type="expression" priority="3" dxfId="2" stopIfTrue="1">
      <formula>AND(B3&lt;&gt;"",B3&lt;$O3-5)</formula>
    </cfRule>
  </conditionalFormatting>
  <conditionalFormatting sqref="N3:N10">
    <cfRule type="expression" priority="4" dxfId="0" stopIfTrue="1">
      <formula>AND(N3&lt;&gt;"",N3&gt;=$O3)</formula>
    </cfRule>
    <cfRule type="expression" priority="5" dxfId="1" stopIfTrue="1">
      <formula>AND(N3&lt;&gt;"",N3&gt;=$O3-5,N3&lt;$O3)</formula>
    </cfRule>
    <cfRule type="expression" priority="6" dxfId="2" stopIfTrue="1">
      <formula>AND(N3&lt;&gt;"",N3&lt;$O3-5)</formula>
    </cfRule>
  </conditionalFormatting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</cols>
  <sheetData>
    <row r="1" ht="32" customHeight="1">
      <c r="A1" s="1" t="inlineStr">
        <is>
          <t>상수도 유수율 종합 현황</t>
        </is>
      </c>
    </row>
    <row r="3" ht="24" customHeight="1">
      <c r="A3" s="19" t="inlineStr">
        <is>
          <t>▶ 월별 유수율 추이 (시스템 전체)</t>
        </is>
      </c>
    </row>
    <row r="4" ht="30" customHeight="1">
      <c r="A4" s="20" t="inlineStr">
        <is>
          <t>월</t>
        </is>
      </c>
      <c r="B4" s="20" t="inlineStr">
        <is>
          <t>유수율(%)</t>
        </is>
      </c>
      <c r="C4" s="20" t="inlineStr">
        <is>
          <t>목표유수율(%)</t>
        </is>
      </c>
    </row>
    <row r="5" ht="20" customHeight="1">
      <c r="A5" s="3" t="inlineStr">
        <is>
          <t>1월</t>
        </is>
      </c>
      <c r="B5" s="15">
        <f>'유수율 현황'!B12</f>
        <v/>
      </c>
      <c r="C5" s="15">
        <f>IFERROR(AVERAGE('유수율 현황'!O3:O10),"")</f>
        <v/>
      </c>
    </row>
    <row r="6" ht="20" customHeight="1">
      <c r="A6" s="9" t="inlineStr">
        <is>
          <t>2월</t>
        </is>
      </c>
      <c r="B6" s="17">
        <f>'유수율 현황'!C12</f>
        <v/>
      </c>
      <c r="C6" s="17">
        <f>IFERROR(AVERAGE('유수율 현황'!O3:O10),"")</f>
        <v/>
      </c>
    </row>
    <row r="7" ht="20" customHeight="1">
      <c r="A7" s="3" t="inlineStr">
        <is>
          <t>3월</t>
        </is>
      </c>
      <c r="B7" s="15">
        <f>'유수율 현황'!D12</f>
        <v/>
      </c>
      <c r="C7" s="15">
        <f>IFERROR(AVERAGE('유수율 현황'!O3:O10),"")</f>
        <v/>
      </c>
    </row>
    <row r="8" ht="20" customHeight="1">
      <c r="A8" s="9" t="inlineStr">
        <is>
          <t>4월</t>
        </is>
      </c>
      <c r="B8" s="17">
        <f>'유수율 현황'!E12</f>
        <v/>
      </c>
      <c r="C8" s="17">
        <f>IFERROR(AVERAGE('유수율 현황'!O3:O10),"")</f>
        <v/>
      </c>
    </row>
    <row r="9" ht="20" customHeight="1">
      <c r="A9" s="3" t="inlineStr">
        <is>
          <t>5월</t>
        </is>
      </c>
      <c r="B9" s="15">
        <f>'유수율 현황'!F12</f>
        <v/>
      </c>
      <c r="C9" s="15">
        <f>IFERROR(AVERAGE('유수율 현황'!O3:O10),"")</f>
        <v/>
      </c>
    </row>
    <row r="10" ht="20" customHeight="1">
      <c r="A10" s="9" t="inlineStr">
        <is>
          <t>6월</t>
        </is>
      </c>
      <c r="B10" s="17">
        <f>'유수율 현황'!G12</f>
        <v/>
      </c>
      <c r="C10" s="17">
        <f>IFERROR(AVERAGE('유수율 현황'!O3:O10),"")</f>
        <v/>
      </c>
    </row>
    <row r="11" ht="20" customHeight="1">
      <c r="A11" s="3" t="inlineStr">
        <is>
          <t>7월</t>
        </is>
      </c>
      <c r="B11" s="15">
        <f>'유수율 현황'!H12</f>
        <v/>
      </c>
      <c r="C11" s="15">
        <f>IFERROR(AVERAGE('유수율 현황'!O3:O10),"")</f>
        <v/>
      </c>
    </row>
    <row r="12" ht="20" customHeight="1">
      <c r="A12" s="9" t="inlineStr">
        <is>
          <t>8월</t>
        </is>
      </c>
      <c r="B12" s="17">
        <f>'유수율 현황'!I12</f>
        <v/>
      </c>
      <c r="C12" s="17">
        <f>IFERROR(AVERAGE('유수율 현황'!O3:O10),"")</f>
        <v/>
      </c>
    </row>
    <row r="13" ht="20" customHeight="1">
      <c r="A13" s="3" t="inlineStr">
        <is>
          <t>9월</t>
        </is>
      </c>
      <c r="B13" s="15">
        <f>'유수율 현황'!J12</f>
        <v/>
      </c>
      <c r="C13" s="15">
        <f>IFERROR(AVERAGE('유수율 현황'!O3:O10),"")</f>
        <v/>
      </c>
    </row>
    <row r="14" ht="20" customHeight="1">
      <c r="A14" s="9" t="inlineStr">
        <is>
          <t>10월</t>
        </is>
      </c>
      <c r="B14" s="17">
        <f>'유수율 현황'!K12</f>
        <v/>
      </c>
      <c r="C14" s="17">
        <f>IFERROR(AVERAGE('유수율 현황'!O3:O10),"")</f>
        <v/>
      </c>
    </row>
    <row r="15" ht="20" customHeight="1">
      <c r="A15" s="3" t="inlineStr">
        <is>
          <t>11월</t>
        </is>
      </c>
      <c r="B15" s="15">
        <f>'유수율 현황'!L12</f>
        <v/>
      </c>
      <c r="C15" s="15">
        <f>IFERROR(AVERAGE('유수율 현황'!O3:O10),"")</f>
        <v/>
      </c>
    </row>
    <row r="16" ht="20" customHeight="1">
      <c r="A16" s="9" t="inlineStr">
        <is>
          <t>12월</t>
        </is>
      </c>
      <c r="B16" s="17">
        <f>'유수율 현황'!M12</f>
        <v/>
      </c>
      <c r="C16" s="17">
        <f>IFERROR(AVERAGE('유수율 현황'!O3:O10),"")</f>
        <v/>
      </c>
    </row>
    <row r="18" ht="24" customHeight="1">
      <c r="A18" s="19" t="inlineStr">
        <is>
          <t>▶ 급수구역별 연간 달성 현황</t>
        </is>
      </c>
    </row>
    <row r="19" ht="30" customHeight="1">
      <c r="A19" s="20" t="inlineStr">
        <is>
          <t>급수구역</t>
        </is>
      </c>
      <c r="B19" s="20" t="inlineStr">
        <is>
          <t>연간평균(%)</t>
        </is>
      </c>
      <c r="C19" s="20" t="inlineStr">
        <is>
          <t>목표유수율(%)</t>
        </is>
      </c>
      <c r="D19" s="20" t="inlineStr">
        <is>
          <t>달성여부</t>
        </is>
      </c>
      <c r="E19" s="20" t="inlineStr">
        <is>
          <t>목표대비(%p)</t>
        </is>
      </c>
    </row>
    <row r="20" ht="20" customHeight="1">
      <c r="A20" s="3" t="inlineStr">
        <is>
          <t>1구역</t>
        </is>
      </c>
      <c r="B20" s="15">
        <f>'유수율 현황'!N3</f>
        <v/>
      </c>
      <c r="C20" s="15">
        <f>'유수율 현황'!O3</f>
        <v/>
      </c>
      <c r="D20" s="3">
        <f>IF(B20="","",IF(B20&gt;=C20,"달성","미달"))</f>
        <v/>
      </c>
      <c r="E20" s="21">
        <f>IF(B20="","",B20-C20)</f>
        <v/>
      </c>
    </row>
    <row r="21" ht="20" customHeight="1">
      <c r="A21" s="9" t="inlineStr">
        <is>
          <t>2구역</t>
        </is>
      </c>
      <c r="B21" s="17">
        <f>'유수율 현황'!N4</f>
        <v/>
      </c>
      <c r="C21" s="17">
        <f>'유수율 현황'!O4</f>
        <v/>
      </c>
      <c r="D21" s="9">
        <f>IF(B21="","",IF(B21&gt;=C21,"달성","미달"))</f>
        <v/>
      </c>
      <c r="E21" s="22">
        <f>IF(B21="","",B21-C21)</f>
        <v/>
      </c>
    </row>
    <row r="22" ht="20" customHeight="1">
      <c r="A22" s="3" t="inlineStr">
        <is>
          <t>3구역</t>
        </is>
      </c>
      <c r="B22" s="15">
        <f>'유수율 현황'!N5</f>
        <v/>
      </c>
      <c r="C22" s="15">
        <f>'유수율 현황'!O5</f>
        <v/>
      </c>
      <c r="D22" s="3">
        <f>IF(B22="","",IF(B22&gt;=C22,"달성","미달"))</f>
        <v/>
      </c>
      <c r="E22" s="21">
        <f>IF(B22="","",B22-C22)</f>
        <v/>
      </c>
    </row>
    <row r="23" ht="20" customHeight="1">
      <c r="A23" s="9" t="inlineStr">
        <is>
          <t>4구역</t>
        </is>
      </c>
      <c r="B23" s="17">
        <f>'유수율 현황'!N6</f>
        <v/>
      </c>
      <c r="C23" s="17">
        <f>'유수율 현황'!O6</f>
        <v/>
      </c>
      <c r="D23" s="9">
        <f>IF(B23="","",IF(B23&gt;=C23,"달성","미달"))</f>
        <v/>
      </c>
      <c r="E23" s="22">
        <f>IF(B23="","",B23-C23)</f>
        <v/>
      </c>
    </row>
    <row r="24" ht="20" customHeight="1">
      <c r="A24" s="3" t="inlineStr">
        <is>
          <t>5구역</t>
        </is>
      </c>
      <c r="B24" s="15">
        <f>'유수율 현황'!N7</f>
        <v/>
      </c>
      <c r="C24" s="15">
        <f>'유수율 현황'!O7</f>
        <v/>
      </c>
      <c r="D24" s="3">
        <f>IF(B24="","",IF(B24&gt;=C24,"달성","미달"))</f>
        <v/>
      </c>
      <c r="E24" s="21">
        <f>IF(B24="","",B24-C24)</f>
        <v/>
      </c>
    </row>
    <row r="25" ht="20" customHeight="1">
      <c r="A25" s="9" t="inlineStr">
        <is>
          <t>6구역</t>
        </is>
      </c>
      <c r="B25" s="17">
        <f>'유수율 현황'!N8</f>
        <v/>
      </c>
      <c r="C25" s="17">
        <f>'유수율 현황'!O8</f>
        <v/>
      </c>
      <c r="D25" s="9">
        <f>IF(B25="","",IF(B25&gt;=C25,"달성","미달"))</f>
        <v/>
      </c>
      <c r="E25" s="22">
        <f>IF(B25="","",B25-C25)</f>
        <v/>
      </c>
    </row>
    <row r="26" ht="20" customHeight="1">
      <c r="A26" s="3" t="inlineStr">
        <is>
          <t>7구역</t>
        </is>
      </c>
      <c r="B26" s="15">
        <f>'유수율 현황'!N9</f>
        <v/>
      </c>
      <c r="C26" s="15">
        <f>'유수율 현황'!O9</f>
        <v/>
      </c>
      <c r="D26" s="3">
        <f>IF(B26="","",IF(B26&gt;=C26,"달성","미달"))</f>
        <v/>
      </c>
      <c r="E26" s="21">
        <f>IF(B26="","",B26-C26)</f>
        <v/>
      </c>
    </row>
    <row r="27" ht="20" customHeight="1">
      <c r="A27" s="9" t="inlineStr">
        <is>
          <t>8구역</t>
        </is>
      </c>
      <c r="B27" s="17">
        <f>'유수율 현황'!N10</f>
        <v/>
      </c>
      <c r="C27" s="17">
        <f>'유수율 현황'!O10</f>
        <v/>
      </c>
      <c r="D27" s="9">
        <f>IF(B27="","",IF(B27&gt;=C27,"달성","미달"))</f>
        <v/>
      </c>
      <c r="E27" s="22">
        <f>IF(B27="","",B27-C27)</f>
        <v/>
      </c>
    </row>
    <row r="28" ht="22" customHeight="1">
      <c r="A28" s="12" t="inlineStr">
        <is>
          <t>시스템 전체</t>
        </is>
      </c>
      <c r="B28" s="18">
        <f>'유수율 현황'!N12</f>
        <v/>
      </c>
      <c r="C28" s="18">
        <f>IFERROR(AVERAGE('유수율 현황'!O3:O10),"")</f>
        <v/>
      </c>
      <c r="D28" s="12">
        <f>IF(B28="","",IF(B28&gt;=C28,"달성","미달"))</f>
        <v/>
      </c>
      <c r="E28" s="23">
        <f>IF(B28="","",B28-C28)</f>
        <v/>
      </c>
    </row>
    <row r="29" ht="8" customHeight="1"/>
    <row r="30" ht="18" customHeight="1">
      <c r="A30" s="24" t="inlineStr">
        <is>
          <t>색상 기준: ■ 초록(달성, 유수율≥목표)  ■ 노랑(근접, 목표-5%p≤유수율&lt;목표)  ■ 빨강(미달, 유수율&lt;목표-5%p)</t>
        </is>
      </c>
    </row>
  </sheetData>
  <mergeCells count="4">
    <mergeCell ref="A3:F3"/>
    <mergeCell ref="A18:G18"/>
    <mergeCell ref="A30:E30"/>
    <mergeCell ref="A1:N1"/>
  </mergeCells>
  <conditionalFormatting sqref="B5:B16">
    <cfRule type="expression" priority="1" dxfId="0" stopIfTrue="1">
      <formula>AND(B5&lt;&gt;"",B5&gt;=$C5)</formula>
    </cfRule>
    <cfRule type="expression" priority="2" dxfId="1" stopIfTrue="1">
      <formula>AND(B5&lt;&gt;"",B5&gt;=$C5-5,B5&lt;$C5)</formula>
    </cfRule>
    <cfRule type="expression" priority="3" dxfId="2" stopIfTrue="1">
      <formula>AND(B5&lt;&gt;"",B5&lt;$C5-5)</formula>
    </cfRule>
  </conditionalFormatting>
  <conditionalFormatting sqref="D20:D27">
    <cfRule type="expression" priority="4" dxfId="3" stopIfTrue="1">
      <formula>D20="달성"</formula>
    </cfRule>
    <cfRule type="expression" priority="5" dxfId="4" stopIfTrue="1">
      <formula>D20="미달"</formula>
    </cfRule>
  </conditionalFormatting>
  <conditionalFormatting sqref="B20:B27">
    <cfRule type="expression" priority="6" dxfId="0" stopIfTrue="1">
      <formula>AND(B20&lt;&gt;"",B20&gt;=$C20)</formula>
    </cfRule>
    <cfRule type="expression" priority="7" dxfId="1" stopIfTrue="1">
      <formula>AND(B20&lt;&gt;"",B20&gt;=$C20-5,B20&lt;$C20)</formula>
    </cfRule>
    <cfRule type="expression" priority="8" dxfId="2" stopIfTrue="1">
      <formula>AND(B20&lt;&gt;"",B20&lt;$C20-5)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2026-05-12T06:03:32Z</dcterms:created>
  <dcterms:modified xsi:type="dcterms:W3CDTF">2026-05-12T06:03:32Z</dcterms:modified>
</cp:coreProperties>
</file>