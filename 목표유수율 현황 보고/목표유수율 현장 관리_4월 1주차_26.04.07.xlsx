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현재_통합_문서" defaultThemeVersion="202300"/>
  <mc:AlternateContent xmlns:mc="http://schemas.openxmlformats.org/markup-compatibility/2006">
    <mc:Choice Requires="x15">
      <x15ac:absPath xmlns:x15ac="http://schemas.microsoft.com/office/spreadsheetml/2010/11/ac" url="D:\KYJ\★기획부\07_공정관리\4. 관망관리_유수율 관리\2026년\4월\1주차\"/>
    </mc:Choice>
  </mc:AlternateContent>
  <xr:revisionPtr revIDLastSave="0" documentId="13_ncr:1_{2BDD84E1-2547-4AB1-8B16-D9D8B015294D}" xr6:coauthVersionLast="47" xr6:coauthVersionMax="47" xr10:uidLastSave="{00000000-0000-0000-0000-000000000000}"/>
  <bookViews>
    <workbookView xWindow="-28920" yWindow="-120" windowWidth="29040" windowHeight="15720" activeTab="1" xr2:uid="{EC9B057A-660A-480F-BC35-AB652DDFBF0D}"/>
  </bookViews>
  <sheets>
    <sheet name="요약" sheetId="3" r:id="rId1"/>
    <sheet name="목표유수율 현장" sheetId="1" r:id="rId2"/>
  </sheets>
  <definedNames>
    <definedName name="_xlnm._FilterDatabase" localSheetId="1" hidden="1">'목표유수율 현장'!$B$5:$AJ$107</definedName>
    <definedName name="_xlnm.Print_Titles" localSheetId="1">'목표유수율 현장'!$1:$5</definedName>
    <definedName name="상세종류">"현대화,유지관리(사후관리),유지관리(블록별),유지관리(누수탐사)"</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04" i="1" l="1"/>
  <c r="AF100" i="1"/>
  <c r="AF98" i="1"/>
  <c r="AF96" i="1"/>
  <c r="AF94" i="1"/>
  <c r="AF90" i="1"/>
  <c r="AF86" i="1"/>
  <c r="AF61" i="1"/>
  <c r="AF7" i="1"/>
  <c r="AF11" i="1"/>
  <c r="AF15" i="1"/>
  <c r="AF19" i="1"/>
  <c r="AF24" i="1"/>
  <c r="AF26" i="1"/>
  <c r="AF28" i="1"/>
  <c r="AF30" i="1"/>
  <c r="AF34" i="1"/>
  <c r="AF38" i="1"/>
  <c r="AF40" i="1"/>
  <c r="AF42" i="1"/>
  <c r="AF44" i="1"/>
  <c r="AF46" i="1"/>
  <c r="AF48" i="1"/>
  <c r="AF52" i="1"/>
  <c r="AF54" i="1"/>
  <c r="AF59" i="1"/>
  <c r="AF57" i="1"/>
  <c r="AF67" i="1"/>
  <c r="AF71" i="1"/>
  <c r="AF73" i="1"/>
  <c r="AF77" i="1"/>
  <c r="AF79" i="1"/>
  <c r="AF83" i="1"/>
  <c r="AF81" i="1"/>
  <c r="Y54" i="1"/>
  <c r="N98" i="1"/>
  <c r="N94" i="1"/>
  <c r="N83" i="1"/>
  <c r="O83" i="1" s="1"/>
  <c r="O84" i="1" s="1"/>
  <c r="N81" i="1"/>
  <c r="O81" i="1" s="1"/>
  <c r="O82" i="1" s="1"/>
  <c r="X83" i="1"/>
  <c r="X81" i="1"/>
  <c r="W84" i="1"/>
  <c r="W82" i="1"/>
  <c r="U84" i="1"/>
  <c r="U82" i="1"/>
  <c r="P84" i="1"/>
  <c r="AC82" i="1"/>
  <c r="R82" i="1"/>
  <c r="Q82" i="1"/>
  <c r="P82" i="1"/>
  <c r="R87" i="1"/>
  <c r="Q87" i="1"/>
  <c r="N77" i="1"/>
  <c r="O77" i="1" s="1"/>
  <c r="X71" i="1"/>
  <c r="W55" i="1"/>
  <c r="X54" i="1"/>
  <c r="U55" i="1"/>
  <c r="N52" i="1"/>
  <c r="AC55" i="1"/>
  <c r="N54" i="1"/>
  <c r="O54" i="1" s="1"/>
  <c r="O55" i="1" s="1"/>
  <c r="Y81" i="1" l="1"/>
  <c r="Y82" i="1"/>
  <c r="X82" i="1"/>
  <c r="Y83" i="1"/>
  <c r="Y84" i="1"/>
  <c r="X84" i="1"/>
  <c r="X55" i="1"/>
  <c r="Y55" i="1"/>
  <c r="O80" i="1" l="1"/>
  <c r="AC78" i="1"/>
  <c r="R78" i="1"/>
  <c r="Q78" i="1"/>
  <c r="P78" i="1"/>
  <c r="O78" i="1"/>
  <c r="AC101" i="1" l="1"/>
  <c r="O52" i="1" l="1"/>
  <c r="O53" i="1" s="1"/>
  <c r="AC53" i="1"/>
  <c r="P53" i="1"/>
  <c r="P27" i="1" l="1"/>
  <c r="W43" i="1" l="1"/>
  <c r="X42" i="1"/>
  <c r="Y42" i="1" s="1"/>
  <c r="X43" i="1" l="1"/>
  <c r="Y43" i="1"/>
  <c r="P99" i="1"/>
  <c r="N26" i="1" l="1"/>
  <c r="O26" i="1" s="1"/>
  <c r="O27" i="1" s="1"/>
  <c r="P93" i="1" l="1"/>
  <c r="P91" i="1"/>
  <c r="N71" i="1" l="1"/>
  <c r="O71" i="1" s="1"/>
  <c r="O72" i="1" s="1"/>
  <c r="W74" i="1" l="1"/>
  <c r="Y74" i="1"/>
  <c r="X74" i="1"/>
  <c r="Y73" i="1"/>
  <c r="P95" i="1" l="1"/>
  <c r="W95" i="1"/>
  <c r="AC95" i="1"/>
  <c r="O94" i="1" l="1"/>
  <c r="O95" i="1" s="1"/>
  <c r="X94" i="1"/>
  <c r="W105" i="1"/>
  <c r="P105" i="1"/>
  <c r="N104" i="1"/>
  <c r="O104" i="1" s="1"/>
  <c r="O105" i="1" s="1"/>
  <c r="Y94" i="1" l="1"/>
  <c r="Y95" i="1"/>
  <c r="X95" i="1"/>
  <c r="X104" i="1"/>
  <c r="Y105" i="1" l="1"/>
  <c r="X105" i="1"/>
  <c r="Y104" i="1"/>
  <c r="AC51" i="1" l="1"/>
  <c r="AC49" i="1"/>
  <c r="P49" i="1"/>
  <c r="N48" i="1"/>
  <c r="O48" i="1" s="1"/>
  <c r="O49" i="1" s="1"/>
  <c r="AC47" i="1" l="1"/>
  <c r="P47" i="1"/>
  <c r="N46" i="1"/>
  <c r="O46" i="1" s="1"/>
  <c r="O47" i="1" s="1"/>
  <c r="AC45" i="1"/>
  <c r="P45" i="1"/>
  <c r="N44" i="1"/>
  <c r="O44" i="1" s="1"/>
  <c r="O45" i="1" s="1"/>
  <c r="AC43" i="1"/>
  <c r="P43" i="1"/>
  <c r="N42" i="1"/>
  <c r="O42" i="1" s="1"/>
  <c r="O43" i="1" s="1"/>
  <c r="AC41" i="1"/>
  <c r="P41" i="1"/>
  <c r="N40" i="1"/>
  <c r="O40" i="1" s="1"/>
  <c r="O41" i="1" s="1"/>
  <c r="R74" i="1"/>
  <c r="Q74" i="1"/>
  <c r="P74" i="1"/>
  <c r="N73" i="1"/>
  <c r="O73" i="1" s="1"/>
  <c r="O74" i="1" s="1"/>
  <c r="AC74" i="1"/>
  <c r="R39" i="1" l="1"/>
  <c r="AC39" i="1"/>
  <c r="W39" i="1"/>
  <c r="Q39" i="1"/>
  <c r="P39" i="1"/>
  <c r="X38" i="1"/>
  <c r="Y39" i="1" l="1"/>
  <c r="X39" i="1"/>
  <c r="Y38" i="1"/>
  <c r="N38" i="1"/>
  <c r="O38" i="1" s="1"/>
  <c r="O39" i="1" s="1"/>
  <c r="X67" i="1" l="1"/>
  <c r="Y68" i="1" s="1"/>
  <c r="W68" i="1"/>
  <c r="Y67" i="1" l="1"/>
  <c r="X68" i="1"/>
  <c r="W72" i="1" l="1"/>
  <c r="Y72" i="1"/>
  <c r="R72" i="1"/>
  <c r="Q72" i="1"/>
  <c r="U72" i="1"/>
  <c r="P72" i="1"/>
  <c r="O113" i="1"/>
  <c r="AC70" i="1"/>
  <c r="Y71" i="1" l="1"/>
  <c r="X72" i="1"/>
  <c r="U68" i="1"/>
  <c r="P68" i="1"/>
  <c r="AC66" i="1" l="1"/>
  <c r="P87" i="1" l="1"/>
  <c r="P101" i="1"/>
  <c r="N100" i="1"/>
  <c r="O100" i="1" s="1"/>
  <c r="O101" i="1" s="1"/>
  <c r="AC20" i="1"/>
  <c r="AC16" i="1"/>
  <c r="P20" i="1"/>
  <c r="N19" i="1"/>
  <c r="O19" i="1" s="1"/>
  <c r="O20" i="1" s="1"/>
  <c r="P16" i="1"/>
  <c r="N15" i="1"/>
  <c r="O15" i="1" s="1"/>
  <c r="O16" i="1" s="1"/>
  <c r="O112" i="1"/>
  <c r="AC93" i="1"/>
  <c r="AC91" i="1"/>
  <c r="W91" i="1"/>
  <c r="AF92" i="1"/>
  <c r="O92" i="1"/>
  <c r="O93" i="1" s="1"/>
  <c r="X90" i="1"/>
  <c r="O90" i="1"/>
  <c r="O91" i="1" s="1"/>
  <c r="O114" i="1" l="1"/>
  <c r="Y91" i="1"/>
  <c r="X91" i="1"/>
  <c r="Y90" i="1"/>
  <c r="U87" i="1" l="1"/>
  <c r="AC87" i="1"/>
  <c r="W87" i="1"/>
  <c r="AC12" i="1"/>
  <c r="W12" i="1"/>
  <c r="U12" i="1"/>
  <c r="R12" i="1"/>
  <c r="P12" i="1"/>
  <c r="N11" i="1"/>
  <c r="O11" i="1" s="1"/>
  <c r="O12" i="1" s="1"/>
  <c r="O111" i="1" l="1"/>
  <c r="N86" i="1"/>
  <c r="O86" i="1" s="1"/>
  <c r="O87" i="1" s="1"/>
  <c r="X86" i="1"/>
  <c r="X11" i="1"/>
  <c r="Y87" i="1" l="1"/>
  <c r="X87" i="1"/>
  <c r="Y86" i="1"/>
  <c r="X12" i="1"/>
  <c r="Y11" i="1"/>
  <c r="Y12" i="1"/>
  <c r="W29" i="1"/>
  <c r="R29" i="1"/>
  <c r="Q29" i="1"/>
  <c r="P29" i="1"/>
  <c r="O98" i="1" l="1"/>
  <c r="O99" i="1" s="1"/>
  <c r="AC99" i="1"/>
  <c r="AC97" i="1"/>
  <c r="P97" i="1"/>
  <c r="N96" i="1"/>
  <c r="O96" i="1" s="1"/>
  <c r="O97" i="1" s="1"/>
  <c r="AC31" i="1" l="1"/>
  <c r="P31" i="1"/>
  <c r="N30" i="1"/>
  <c r="O30" i="1" s="1"/>
  <c r="O31" i="1" s="1"/>
  <c r="W35" i="1" l="1"/>
  <c r="AC35" i="1"/>
  <c r="R35" i="1"/>
  <c r="Q35" i="1"/>
  <c r="P35" i="1"/>
  <c r="N34" i="1"/>
  <c r="O34" i="1" s="1"/>
  <c r="O35" i="1" s="1"/>
  <c r="X34" i="1" l="1"/>
  <c r="Y35" i="1" l="1"/>
  <c r="X35" i="1"/>
  <c r="Y34" i="1"/>
  <c r="AC58" i="1" l="1"/>
  <c r="AC60" i="1"/>
  <c r="AC62" i="1"/>
  <c r="W62" i="1"/>
  <c r="U62" i="1"/>
  <c r="R62" i="1"/>
  <c r="Q62" i="1"/>
  <c r="P62" i="1"/>
  <c r="X61" i="1"/>
  <c r="N61" i="1" l="1"/>
  <c r="O61" i="1" s="1"/>
  <c r="O62" i="1" s="1"/>
  <c r="Y61" i="1"/>
  <c r="Y62" i="1"/>
  <c r="X62" i="1"/>
  <c r="P25" i="1" l="1"/>
  <c r="W27" i="1"/>
  <c r="AC29" i="1"/>
  <c r="AC27" i="1"/>
  <c r="AC25" i="1"/>
  <c r="AC10" i="1"/>
  <c r="U8" i="1" l="1"/>
  <c r="AC8" i="1" l="1"/>
  <c r="N24" i="1" l="1"/>
  <c r="O24" i="1" s="1"/>
  <c r="O25" i="1" s="1"/>
  <c r="U60" i="1"/>
  <c r="U58" i="1"/>
  <c r="R60" i="1"/>
  <c r="R58" i="1"/>
  <c r="Q60" i="1"/>
  <c r="Q58" i="1"/>
  <c r="P60" i="1"/>
  <c r="P58" i="1"/>
  <c r="N28" i="1" l="1"/>
  <c r="O28" i="1" s="1"/>
  <c r="O29" i="1" s="1"/>
  <c r="X28" i="1"/>
  <c r="X26" i="1"/>
  <c r="Y28" i="1" l="1"/>
  <c r="Y29" i="1"/>
  <c r="X29" i="1"/>
  <c r="Y26" i="1"/>
  <c r="Y27" i="1"/>
  <c r="X27" i="1"/>
  <c r="P8" i="1"/>
  <c r="N7" i="1" l="1"/>
  <c r="O7" i="1" s="1"/>
  <c r="O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61" authorId="0" shapeId="0" xr:uid="{3B3820E1-47F0-429C-B933-E30D1F23B090}">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61" authorId="0" shapeId="0" xr:uid="{D011F939-F7EF-4FA2-8CC3-DDB4B84618B7}">
      <text>
        <r>
          <rPr>
            <b/>
            <sz val="15"/>
            <color indexed="81"/>
            <rFont val="돋움"/>
            <family val="3"/>
            <charset val="129"/>
          </rPr>
          <t>성과판정유수율</t>
        </r>
      </text>
    </comment>
    <comment ref="J65" authorId="0" shapeId="0" xr:uid="{7C9E8598-1FAD-4744-82D1-766A6F71D9B7}">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65" authorId="0" shapeId="0" xr:uid="{AE65BBC5-C2D4-4CD6-9491-7C35D5F2548B}">
      <text>
        <r>
          <rPr>
            <b/>
            <sz val="15"/>
            <color indexed="81"/>
            <rFont val="돋움"/>
            <family val="3"/>
            <charset val="129"/>
          </rPr>
          <t>성과판정유수율</t>
        </r>
      </text>
    </comment>
    <comment ref="J69" authorId="0" shapeId="0" xr:uid="{BDF4940F-7F58-4E49-870A-8239E8EA12C7}">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69" authorId="0" shapeId="0" xr:uid="{FD2428A8-9067-4D0C-9F80-6EA330E4DCF9}">
      <text>
        <r>
          <rPr>
            <b/>
            <sz val="15"/>
            <color indexed="81"/>
            <rFont val="돋움"/>
            <family val="3"/>
            <charset val="129"/>
          </rPr>
          <t>성과판정유수율</t>
        </r>
      </text>
    </comment>
    <comment ref="L71" authorId="0" shapeId="0" xr:uid="{67858248-9459-4D89-9A06-551055F63BF5}">
      <text>
        <r>
          <rPr>
            <b/>
            <sz val="15"/>
            <color indexed="81"/>
            <rFont val="돋움"/>
            <family val="3"/>
            <charset val="129"/>
          </rPr>
          <t>성과판정유수율</t>
        </r>
      </text>
    </comment>
    <comment ref="J73" authorId="0" shapeId="0" xr:uid="{AA98F952-4C2A-47CE-ABFA-A51BF759CB35}">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73" authorId="0" shapeId="0" xr:uid="{26EE3283-A4BF-4F93-A4BF-A788793775A1}">
      <text>
        <r>
          <rPr>
            <b/>
            <sz val="15"/>
            <color indexed="81"/>
            <rFont val="돋움"/>
            <family val="3"/>
            <charset val="129"/>
          </rPr>
          <t>성과판정유수율</t>
        </r>
      </text>
    </comment>
    <comment ref="J77" authorId="0" shapeId="0" xr:uid="{F35D4854-1BCC-4316-B102-D83E8D21D403}">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77" authorId="0" shapeId="0" xr:uid="{81E11051-96C0-4B33-9254-1A9B4984A9E7}">
      <text>
        <r>
          <rPr>
            <b/>
            <sz val="15"/>
            <color indexed="81"/>
            <rFont val="돋움"/>
            <family val="3"/>
            <charset val="129"/>
          </rPr>
          <t>성과판정유수율</t>
        </r>
      </text>
    </comment>
    <comment ref="J81" authorId="0" shapeId="0" xr:uid="{42EF5777-3C6A-40BC-BFE3-BAC071CB936A}">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81" authorId="0" shapeId="0" xr:uid="{D6F4E3AA-F560-48A4-BB80-EB68C0671BAD}">
      <text>
        <r>
          <rPr>
            <b/>
            <sz val="15"/>
            <color indexed="81"/>
            <rFont val="돋움"/>
            <family val="3"/>
            <charset val="129"/>
          </rPr>
          <t>성과판정유수율</t>
        </r>
      </text>
    </comment>
  </commentList>
</comments>
</file>

<file path=xl/sharedStrings.xml><?xml version="1.0" encoding="utf-8"?>
<sst xmlns="http://schemas.openxmlformats.org/spreadsheetml/2006/main" count="1359" uniqueCount="259">
  <si>
    <t>No.</t>
    <phoneticPr fontId="2" type="noConversion"/>
  </si>
  <si>
    <t>소 속</t>
    <phoneticPr fontId="2" type="noConversion"/>
  </si>
  <si>
    <t>현 장</t>
    <phoneticPr fontId="2" type="noConversion"/>
  </si>
  <si>
    <t>상세종류</t>
    <phoneticPr fontId="2" type="noConversion"/>
  </si>
  <si>
    <t>팀장</t>
    <phoneticPr fontId="2" type="noConversion"/>
  </si>
  <si>
    <t>목표유수율</t>
    <phoneticPr fontId="2" type="noConversion"/>
  </si>
  <si>
    <t>착수일</t>
    <phoneticPr fontId="2" type="noConversion"/>
  </si>
  <si>
    <t>준공일</t>
    <phoneticPr fontId="2" type="noConversion"/>
  </si>
  <si>
    <t>달성 조건</t>
    <phoneticPr fontId="2" type="noConversion"/>
  </si>
  <si>
    <t>용역명</t>
    <phoneticPr fontId="2" type="noConversion"/>
  </si>
  <si>
    <t>잔여일</t>
    <phoneticPr fontId="2" type="noConversion"/>
  </si>
  <si>
    <t>순천</t>
    <phoneticPr fontId="2" type="noConversion"/>
  </si>
  <si>
    <t xml:space="preserve">관망운영관리 및 누수탐사 </t>
    <phoneticPr fontId="2" type="noConversion"/>
  </si>
  <si>
    <t>현대화</t>
  </si>
  <si>
    <t>-</t>
    <phoneticPr fontId="2" type="noConversion"/>
  </si>
  <si>
    <t>유수율 100% 
상회 블록</t>
    <phoneticPr fontId="2" type="noConversion"/>
  </si>
  <si>
    <t>블록구축 
완료</t>
    <phoneticPr fontId="2" type="noConversion"/>
  </si>
  <si>
    <t>현재 유수율
(%)</t>
    <phoneticPr fontId="2" type="noConversion"/>
  </si>
  <si>
    <t>초기 유수율
(%)</t>
    <phoneticPr fontId="2" type="noConversion"/>
  </si>
  <si>
    <t>특이사항</t>
    <phoneticPr fontId="2" type="noConversion"/>
  </si>
  <si>
    <t>목표
누수탐사</t>
    <phoneticPr fontId="2" type="noConversion"/>
  </si>
  <si>
    <t>현재
누수탐사</t>
    <phoneticPr fontId="2" type="noConversion"/>
  </si>
  <si>
    <t>대상</t>
    <phoneticPr fontId="2" type="noConversion"/>
  </si>
  <si>
    <t>외</t>
    <phoneticPr fontId="2" type="noConversion"/>
  </si>
  <si>
    <t>성과판정 
대상/외</t>
    <phoneticPr fontId="2" type="noConversion"/>
  </si>
  <si>
    <t xml:space="preserve">성과대상구역 판정기간 평균 유수율 85% 달성
초기유수율 산정 기준 : 착수 전 2개월 평균 </t>
    <phoneticPr fontId="2" type="noConversion"/>
  </si>
  <si>
    <t>① 유수율 관리</t>
    <phoneticPr fontId="2" type="noConversion"/>
  </si>
  <si>
    <t>현재까지 도달해야
하는 유수율</t>
    <phoneticPr fontId="2" type="noConversion"/>
  </si>
  <si>
    <t>현재까지 목표대비 미도달 유수율</t>
    <phoneticPr fontId="2" type="noConversion"/>
  </si>
  <si>
    <t>개선방안</t>
    <phoneticPr fontId="2" type="noConversion"/>
  </si>
  <si>
    <t>현재까지 도달해야
하는 누수탐사</t>
    <phoneticPr fontId="2" type="noConversion"/>
  </si>
  <si>
    <t>현재까지 목표대비 
미도달 누수탐사</t>
    <phoneticPr fontId="2" type="noConversion"/>
  </si>
  <si>
    <t>목표유수율 대상 
소블록(개소)</t>
    <phoneticPr fontId="2" type="noConversion"/>
  </si>
  <si>
    <t>경북팀</t>
    <phoneticPr fontId="2" type="noConversion"/>
  </si>
  <si>
    <t>의성</t>
    <phoneticPr fontId="2" type="noConversion"/>
  </si>
  <si>
    <t>유지관리(사후관리)</t>
  </si>
  <si>
    <t>전체</t>
    <phoneticPr fontId="2" type="noConversion"/>
  </si>
  <si>
    <t>경기2팀</t>
    <phoneticPr fontId="2" type="noConversion"/>
  </si>
  <si>
    <t>인천(남동)</t>
    <phoneticPr fontId="2" type="noConversion"/>
  </si>
  <si>
    <t>블록시스템 유지관리</t>
    <phoneticPr fontId="2" type="noConversion"/>
  </si>
  <si>
    <t>유지관리(블록별)</t>
  </si>
  <si>
    <t>양승현</t>
    <phoneticPr fontId="2" type="noConversion"/>
  </si>
  <si>
    <t>인천(연수)</t>
    <phoneticPr fontId="2" type="noConversion"/>
  </si>
  <si>
    <t>박기웅</t>
    <phoneticPr fontId="2" type="noConversion"/>
  </si>
  <si>
    <t>목표유수율 달성
소블록</t>
    <phoneticPr fontId="2" type="noConversion"/>
  </si>
  <si>
    <t>블록별 목표 유수율 조건
3차년도(12개월) 블록별 평균 유수율</t>
    <phoneticPr fontId="2" type="noConversion"/>
  </si>
  <si>
    <t>블록별</t>
    <phoneticPr fontId="2" type="noConversion"/>
  </si>
  <si>
    <t>단독팀</t>
    <phoneticPr fontId="2" type="noConversion"/>
  </si>
  <si>
    <t>유지관리(누수탐사)</t>
  </si>
  <si>
    <t>홍천</t>
    <phoneticPr fontId="2" type="noConversion"/>
  </si>
  <si>
    <t>상수도관망 전문유지관리</t>
    <phoneticPr fontId="2" type="noConversion"/>
  </si>
  <si>
    <t>윤윤상</t>
    <phoneticPr fontId="2" type="noConversion"/>
  </si>
  <si>
    <t>소속</t>
    <phoneticPr fontId="2" type="noConversion"/>
  </si>
  <si>
    <t>현장</t>
    <phoneticPr fontId="2" type="noConversion"/>
  </si>
  <si>
    <t>현대화</t>
    <phoneticPr fontId="2" type="noConversion"/>
  </si>
  <si>
    <t>경상2팀</t>
    <phoneticPr fontId="2" type="noConversion"/>
  </si>
  <si>
    <t>양산</t>
    <phoneticPr fontId="2" type="noConversion"/>
  </si>
  <si>
    <t>전라2팀</t>
    <phoneticPr fontId="2" type="noConversion"/>
  </si>
  <si>
    <t>영암</t>
    <phoneticPr fontId="2" type="noConversion"/>
  </si>
  <si>
    <t>유지관리(사후관리)</t>
    <phoneticPr fontId="2" type="noConversion"/>
  </si>
  <si>
    <t>화천</t>
    <phoneticPr fontId="2" type="noConversion"/>
  </si>
  <si>
    <t>강진</t>
    <phoneticPr fontId="2" type="noConversion"/>
  </si>
  <si>
    <t>원주</t>
    <phoneticPr fontId="2" type="noConversion"/>
  </si>
  <si>
    <t>함안</t>
    <phoneticPr fontId="2" type="noConversion"/>
  </si>
  <si>
    <t>남해</t>
    <phoneticPr fontId="2" type="noConversion"/>
  </si>
  <si>
    <t>유지관리(블록별)</t>
    <phoneticPr fontId="2" type="noConversion"/>
  </si>
  <si>
    <t>고흥</t>
    <phoneticPr fontId="2" type="noConversion"/>
  </si>
  <si>
    <t>장성</t>
    <phoneticPr fontId="2" type="noConversion"/>
  </si>
  <si>
    <t>전라1팀</t>
    <phoneticPr fontId="2" type="noConversion"/>
  </si>
  <si>
    <t>광주</t>
    <phoneticPr fontId="2" type="noConversion"/>
  </si>
  <si>
    <t>해남</t>
    <phoneticPr fontId="2" type="noConversion"/>
  </si>
  <si>
    <t>유지관리(누수탐사)</t>
    <phoneticPr fontId="2" type="noConversion"/>
  </si>
  <si>
    <t>가평</t>
    <phoneticPr fontId="2" type="noConversion"/>
  </si>
  <si>
    <t>속초</t>
    <phoneticPr fontId="2" type="noConversion"/>
  </si>
  <si>
    <t>진안</t>
    <phoneticPr fontId="2" type="noConversion"/>
  </si>
  <si>
    <t>■ 목표유수율 현장 관리 대장</t>
    <phoneticPr fontId="2" type="noConversion"/>
  </si>
  <si>
    <t>② 블록 관리</t>
    <phoneticPr fontId="2" type="noConversion"/>
  </si>
  <si>
    <t>③ 누수 관리</t>
    <phoneticPr fontId="2" type="noConversion"/>
  </si>
  <si>
    <t>④ 일정 관리</t>
    <phoneticPr fontId="2" type="noConversion"/>
  </si>
  <si>
    <t>판정 시작일
(목표유수율 산정 시작일)</t>
    <phoneticPr fontId="2" type="noConversion"/>
  </si>
  <si>
    <t>판정 종료일
(목표유수율 산정 종료일)</t>
    <phoneticPr fontId="2" type="noConversion"/>
  </si>
  <si>
    <t>■ 현대화사업</t>
    <phoneticPr fontId="2" type="noConversion"/>
  </si>
  <si>
    <t>■ 유지관리(사후관리)</t>
    <phoneticPr fontId="2" type="noConversion"/>
  </si>
  <si>
    <t>■ 유지관리(블록별)</t>
    <phoneticPr fontId="2" type="noConversion"/>
  </si>
  <si>
    <t>■ 유지관리(누수탐사)</t>
    <phoneticPr fontId="2" type="noConversion"/>
  </si>
  <si>
    <r>
      <t xml:space="preserve">□ 목표유수율이 있는 현장의 효율적인 공정관리를 위한 목적으로 총 4개의 관리 체계 분리
 </t>
    </r>
    <r>
      <rPr>
        <b/>
        <sz val="18"/>
        <color theme="0"/>
        <rFont val="KoPubWorld돋움체 Medium"/>
        <family val="3"/>
        <charset val="129"/>
      </rPr>
      <t>① 유수율 관리 : 전반적인 유수율 관리를 위한 내용</t>
    </r>
    <r>
      <rPr>
        <sz val="18"/>
        <color theme="0"/>
        <rFont val="KoPubWorld돋움체 Medium"/>
        <family val="3"/>
        <charset val="129"/>
      </rPr>
      <t xml:space="preserve"> 
   - 성과판정 대상 구역 / 목표 유수율 / 목표 유수율 대상 소블록 / 달성 조건 / 초기 및 현재(가장 최근) 유수율 / 현재까지 도달해야 하는 유수율 / 현재까지 목표대비 미도달한 유수율 
 </t>
    </r>
    <r>
      <rPr>
        <b/>
        <sz val="18"/>
        <color theme="0"/>
        <rFont val="KoPubWorld돋움체 Medium"/>
        <family val="3"/>
        <charset val="129"/>
      </rPr>
      <t>② 블록 관리 : 유수율 산정하기 위한 조건을 확인하기 위한 내용</t>
    </r>
    <r>
      <rPr>
        <sz val="18"/>
        <color theme="0"/>
        <rFont val="KoPubWorld돋움체 Medium"/>
        <family val="3"/>
        <charset val="129"/>
      </rPr>
      <t xml:space="preserve">
   - 블록구축 완료 소블록 개수 / 유수율 100% 상회 블록(블록구축 완료된 블록에 한해) / 목표유수율 달성한 소블록 / 초기·목표·현재 야간최소유량
 </t>
    </r>
    <r>
      <rPr>
        <b/>
        <sz val="18"/>
        <color theme="0"/>
        <rFont val="KoPubWorld돋움체 Medium"/>
        <family val="3"/>
        <charset val="129"/>
      </rPr>
      <t>③ 누수 관리 : 목표유수율과 목표 누수탐사 건수를 관리하기 위한 내용</t>
    </r>
    <r>
      <rPr>
        <sz val="18"/>
        <color theme="0"/>
        <rFont val="KoPubWorld돋움체 Medium"/>
        <family val="3"/>
        <charset val="129"/>
      </rPr>
      <t xml:space="preserve"> 
   - 목표 누수탐사 건수 / 현재 누수탐사 건수 / 현재까지 도달해야 하는 누수탐사 건수 / 현재까지 목표대비 미도달 누수탐사 건수
</t>
    </r>
    <r>
      <rPr>
        <b/>
        <sz val="18"/>
        <color theme="0"/>
        <rFont val="KoPubWorld돋움체 Medium"/>
        <family val="3"/>
        <charset val="129"/>
      </rPr>
      <t xml:space="preserve"> ④ 일정 관리 : 과업 착수일로부터 목표유수율 달성하기까지 일정을 관리하기 위한 내용</t>
    </r>
    <r>
      <rPr>
        <sz val="18"/>
        <color theme="0"/>
        <rFont val="KoPubWorld돋움체 Medium"/>
        <family val="3"/>
        <charset val="129"/>
      </rPr>
      <t xml:space="preserve">
   - </t>
    </r>
    <r>
      <rPr>
        <b/>
        <sz val="18"/>
        <color rgb="FFFFFF00"/>
        <rFont val="KoPubWorld돋움체 Medium"/>
        <family val="3"/>
        <charset val="129"/>
      </rPr>
      <t>착수일</t>
    </r>
    <r>
      <rPr>
        <sz val="18"/>
        <color theme="0"/>
        <rFont val="KoPubWorld돋움체 Medium"/>
        <family val="3"/>
        <charset val="129"/>
      </rPr>
      <t xml:space="preserve"> / </t>
    </r>
    <r>
      <rPr>
        <b/>
        <sz val="18"/>
        <color rgb="FFFFFF00"/>
        <rFont val="KoPubWorld돋움체 Medium"/>
        <family val="3"/>
        <charset val="129"/>
      </rPr>
      <t>준공일(전체분에 대한 준공일)</t>
    </r>
    <r>
      <rPr>
        <sz val="18"/>
        <color theme="0"/>
        <rFont val="KoPubWorld돋움체 Medium"/>
        <family val="3"/>
        <charset val="129"/>
      </rPr>
      <t xml:space="preserve"> / 성과판정 시작일(유지관리의 경우 목표유수율 산정 시작일) / 성과판정 종료일(유지관리의 경우 목표유수율 산정 종료일) / 잔여일
□ 목표유수율 대상 현장 중 해당 조건에 맞는 내용들은 모두 기입하여 작성
  ◁ 현대화사업의 경우 </t>
    </r>
    <r>
      <rPr>
        <b/>
        <sz val="18"/>
        <color rgb="FFFFFF00"/>
        <rFont val="KoPubWorld돋움체 Medium"/>
        <family val="3"/>
        <charset val="129"/>
      </rPr>
      <t>① 유수율 관리</t>
    </r>
    <r>
      <rPr>
        <sz val="18"/>
        <color theme="0"/>
        <rFont val="KoPubWorld돋움체 Medium"/>
        <family val="3"/>
        <charset val="129"/>
      </rPr>
      <t xml:space="preserve"> 및 </t>
    </r>
    <r>
      <rPr>
        <b/>
        <sz val="18"/>
        <color rgb="FFFFFF00"/>
        <rFont val="KoPubWorld돋움체 Medium"/>
        <family val="3"/>
        <charset val="129"/>
      </rPr>
      <t xml:space="preserve">② 블록 관리 </t>
    </r>
    <r>
      <rPr>
        <b/>
        <sz val="18"/>
        <color theme="0"/>
        <rFont val="KoPubWorld돋움체 Medium"/>
        <family val="3"/>
        <charset val="129"/>
      </rPr>
      <t>및</t>
    </r>
    <r>
      <rPr>
        <sz val="18"/>
        <color theme="0"/>
        <rFont val="KoPubWorld돋움체 Medium"/>
        <family val="3"/>
        <charset val="129"/>
      </rPr>
      <t xml:space="preserve"> </t>
    </r>
    <r>
      <rPr>
        <b/>
        <sz val="18"/>
        <color rgb="FFFFFF00"/>
        <rFont val="KoPubWorld돋움체 Medium"/>
        <family val="3"/>
        <charset val="129"/>
      </rPr>
      <t>④ 일정 관리</t>
    </r>
    <r>
      <rPr>
        <sz val="18"/>
        <color rgb="FFFFFF00"/>
        <rFont val="KoPubWorld돋움체 Medium"/>
        <family val="3"/>
        <charset val="129"/>
      </rPr>
      <t xml:space="preserve"> </t>
    </r>
    <r>
      <rPr>
        <sz val="18"/>
        <color theme="0"/>
        <rFont val="KoPubWorld돋움체 Medium"/>
        <family val="3"/>
        <charset val="129"/>
      </rPr>
      <t xml:space="preserve">항목을 작성
  ◁ 초기 유수율 산정 내용은 과업지시서 상에 나와있는 산정 기준을 참조하여 작성(ex 착수 전 2개월 평균 / 현대화사업의 경우 사업 전에 제시된 평균 유수율)
  ◁ 유지관리 용역 중 블록별로 관리하는 현장은 목표유수율은 </t>
    </r>
    <r>
      <rPr>
        <b/>
        <sz val="18"/>
        <color rgb="FFFFFF00"/>
        <rFont val="KoPubWorld돋움체 Medium"/>
        <family val="3"/>
        <charset val="129"/>
      </rPr>
      <t>블록별 기준</t>
    </r>
    <r>
      <rPr>
        <sz val="18"/>
        <color theme="0"/>
        <rFont val="KoPubWorld돋움체 Medium"/>
        <family val="3"/>
        <charset val="129"/>
      </rPr>
      <t xml:space="preserve"> 으로 작성 
  ◁ 유지관리 용역 중 과업지시서 상 목표누수건수도 같이 잡혀 있는 현장은 </t>
    </r>
    <r>
      <rPr>
        <b/>
        <sz val="18"/>
        <color rgb="FFFFFF00"/>
        <rFont val="KoPubWorld돋움체 Medium"/>
        <family val="3"/>
        <charset val="129"/>
      </rPr>
      <t>③누수 관리</t>
    </r>
    <r>
      <rPr>
        <sz val="18"/>
        <color theme="0"/>
        <rFont val="KoPubWorld돋움체 Medium"/>
        <family val="3"/>
        <charset val="129"/>
      </rPr>
      <t>도</t>
    </r>
    <r>
      <rPr>
        <b/>
        <sz val="18"/>
        <color theme="0"/>
        <rFont val="KoPubWorld돋움체 Medium"/>
        <family val="3"/>
        <charset val="129"/>
      </rPr>
      <t xml:space="preserve"> </t>
    </r>
    <r>
      <rPr>
        <sz val="18"/>
        <color theme="0"/>
        <rFont val="KoPubWorld돋움체 Medium"/>
        <family val="3"/>
        <charset val="129"/>
      </rPr>
      <t>작성</t>
    </r>
    <phoneticPr fontId="2" type="noConversion"/>
  </si>
  <si>
    <r>
      <t xml:space="preserve">  ◁ 차수별 목표유수율이 있다면 착수일 및 준공일은 해당 차수 준공일로 작성(ex, 1차년도 70% / 2차년도 75% 에서 1차년도 용역 수행중인 경우 착수일 / 준공일 1차년도 기준으로 작성 및 목표유수율 및 초기 유수율도 차수별로 진행)
□ 준공일을 기준으로 현재까지 잔여일 산정
□ 목표유수율 미달 또는 관리 항목 중 미달이 나오는 것에 대해서는 </t>
    </r>
    <r>
      <rPr>
        <b/>
        <sz val="18"/>
        <color rgb="FFFFFF00"/>
        <rFont val="KoPubWorld돋움체 Medium"/>
        <family val="3"/>
        <charset val="129"/>
      </rPr>
      <t>특이사항</t>
    </r>
    <r>
      <rPr>
        <sz val="18"/>
        <color theme="0"/>
        <rFont val="KoPubWorld돋움체 Medium"/>
        <family val="3"/>
        <charset val="129"/>
      </rPr>
      <t xml:space="preserve"> 및 </t>
    </r>
    <r>
      <rPr>
        <b/>
        <sz val="18"/>
        <color rgb="FFFFFF00"/>
        <rFont val="KoPubWorld돋움체 Medium"/>
        <family val="3"/>
        <charset val="129"/>
      </rPr>
      <t>개선방안</t>
    </r>
    <r>
      <rPr>
        <sz val="18"/>
        <color theme="0"/>
        <rFont val="KoPubWorld돋움체 Medium"/>
        <family val="3"/>
        <charset val="129"/>
      </rPr>
      <t xml:space="preserve"> 작성 </t>
    </r>
    <r>
      <rPr>
        <b/>
        <sz val="18"/>
        <color rgb="FFFF0000"/>
        <rFont val="KoPubWorld돋움체 Medium"/>
        <family val="3"/>
        <charset val="129"/>
      </rPr>
      <t>필수</t>
    </r>
    <phoneticPr fontId="2" type="noConversion"/>
  </si>
  <si>
    <t>초기 야간최소유량
(㎥)</t>
    <phoneticPr fontId="2" type="noConversion"/>
  </si>
  <si>
    <t>목표야간최소유량
(㎥)</t>
    <phoneticPr fontId="2" type="noConversion"/>
  </si>
  <si>
    <t>현재 야간최소유량
(㎥)</t>
    <phoneticPr fontId="2" type="noConversion"/>
  </si>
  <si>
    <t>-</t>
    <phoneticPr fontId="2" type="noConversion"/>
  </si>
  <si>
    <t>용역 중지일</t>
    <phoneticPr fontId="2" type="noConversion"/>
  </si>
  <si>
    <t>중지 해제일</t>
    <phoneticPr fontId="2" type="noConversion"/>
  </si>
  <si>
    <t>-</t>
    <phoneticPr fontId="2" type="noConversion"/>
  </si>
  <si>
    <t>O</t>
    <phoneticPr fontId="2" type="noConversion"/>
  </si>
  <si>
    <t>-</t>
    <phoneticPr fontId="2" type="noConversion"/>
  </si>
  <si>
    <t>-</t>
    <phoneticPr fontId="2" type="noConversion"/>
  </si>
  <si>
    <t>강덕호</t>
    <phoneticPr fontId="2" type="noConversion"/>
  </si>
  <si>
    <t>김경태</t>
    <phoneticPr fontId="2" type="noConversion"/>
  </si>
  <si>
    <t>문승범</t>
    <phoneticPr fontId="2" type="noConversion"/>
  </si>
  <si>
    <t>현대화사업 성과보증 대상지역
(5개 중블록 12개 소블록)
3차년도 1년 평균유수율 85%</t>
    <phoneticPr fontId="2" type="noConversion"/>
  </si>
  <si>
    <t>지방상수도 유수율관리</t>
    <phoneticPr fontId="2" type="noConversion"/>
  </si>
  <si>
    <t>조영훈</t>
    <phoneticPr fontId="2" type="noConversion"/>
  </si>
  <si>
    <t>성과대상구역 연평균 유수율 85% 달성</t>
    <phoneticPr fontId="2" type="noConversion"/>
  </si>
  <si>
    <t>성과대상외 구역 연평균 유수율 80% 달성</t>
    <phoneticPr fontId="2" type="noConversion"/>
  </si>
  <si>
    <t>현대화사업 사후관리</t>
    <phoneticPr fontId="2" type="noConversion"/>
  </si>
  <si>
    <t>홍천군 전체급수구역 유수율 85% 목표</t>
    <phoneticPr fontId="2" type="noConversion"/>
  </si>
  <si>
    <t>안종현</t>
    <phoneticPr fontId="2" type="noConversion"/>
  </si>
  <si>
    <t xml:space="preserve">성과대상구역 판정기간 평균 유수율 85% 달성 </t>
    <phoneticPr fontId="2" type="noConversion"/>
  </si>
  <si>
    <t>남성국</t>
    <phoneticPr fontId="2" type="noConversion"/>
  </si>
  <si>
    <t>1차년도_성과판정 블록 85%유지</t>
    <phoneticPr fontId="2" type="noConversion"/>
  </si>
  <si>
    <t>김덕영</t>
    <phoneticPr fontId="2" type="noConversion"/>
  </si>
  <si>
    <t>1년 평균수율 85% 유지</t>
    <phoneticPr fontId="2" type="noConversion"/>
  </si>
  <si>
    <t xml:space="preserve">관망운영 및 누수탐사 </t>
    <phoneticPr fontId="2" type="noConversion"/>
  </si>
  <si>
    <t>하재홍</t>
    <phoneticPr fontId="2" type="noConversion"/>
  </si>
  <si>
    <t xml:space="preserve">성과대상구역 판정기간 평균 유수율 85% 달성
초기유수율 산정 기준 : 착수 후 1개월 평균 </t>
    <phoneticPr fontId="2" type="noConversion"/>
  </si>
  <si>
    <t xml:space="preserve"> 후속 관망운영 및 누수탐사 </t>
    <phoneticPr fontId="2" type="noConversion"/>
  </si>
  <si>
    <t>김민호</t>
    <phoneticPr fontId="2" type="noConversion"/>
  </si>
  <si>
    <t>유지관리 및 누수탐사</t>
    <phoneticPr fontId="2" type="noConversion"/>
  </si>
  <si>
    <t>임승환</t>
    <phoneticPr fontId="2" type="noConversion"/>
  </si>
  <si>
    <t xml:space="preserve">성과대상구역 판정기간 평균 유수율 85% 달성
초기유수율 산정 기준 : 착수 전 1개월 평균 </t>
    <phoneticPr fontId="2" type="noConversion"/>
  </si>
  <si>
    <t>상수도관망
전문 유지관리 용역</t>
    <phoneticPr fontId="2" type="noConversion"/>
  </si>
  <si>
    <t>박성진</t>
    <phoneticPr fontId="2" type="noConversion"/>
  </si>
  <si>
    <t>-</t>
    <phoneticPr fontId="2" type="noConversion"/>
  </si>
  <si>
    <t>블록별 목표 유수율 조건</t>
    <phoneticPr fontId="2" type="noConversion"/>
  </si>
  <si>
    <t>유수율제고 및 구축블록 
유지관리</t>
    <phoneticPr fontId="2" type="noConversion"/>
  </si>
  <si>
    <t>홍문표</t>
    <phoneticPr fontId="2" type="noConversion"/>
  </si>
  <si>
    <t>의령</t>
    <phoneticPr fontId="2" type="noConversion"/>
  </si>
  <si>
    <t>지방상수도 현대화사업 사후관리</t>
    <phoneticPr fontId="2" type="noConversion"/>
  </si>
  <si>
    <t>이재환</t>
    <phoneticPr fontId="2" type="noConversion"/>
  </si>
  <si>
    <t>과업대상지역 목표유수율 연평균 85% 이상 유지</t>
    <phoneticPr fontId="2" type="noConversion"/>
  </si>
  <si>
    <t>경상1팀</t>
    <phoneticPr fontId="2" type="noConversion"/>
  </si>
  <si>
    <t>김해</t>
    <phoneticPr fontId="2" type="noConversion"/>
  </si>
  <si>
    <t>-</t>
    <phoneticPr fontId="2" type="noConversion"/>
  </si>
  <si>
    <t>1차년도 목표 유수율이 없으며 2차년,3차년도
목표유수율 85%</t>
    <phoneticPr fontId="2" type="noConversion"/>
  </si>
  <si>
    <t>포항</t>
    <phoneticPr fontId="2" type="noConversion"/>
  </si>
  <si>
    <t>구병순</t>
    <phoneticPr fontId="2" type="noConversion"/>
  </si>
  <si>
    <t>성과대상구역 평균 유수율 85%이상 유지</t>
    <phoneticPr fontId="2" type="noConversion"/>
  </si>
  <si>
    <t>준공 전 6개월 평균 유수율 74%이상 달성</t>
    <phoneticPr fontId="2" type="noConversion"/>
  </si>
  <si>
    <t>-</t>
    <phoneticPr fontId="2" type="noConversion"/>
  </si>
  <si>
    <t>현대화사업 성과유수율 이상 유지
 - 성과 유수율 : 88.1%</t>
    <phoneticPr fontId="2" type="noConversion"/>
  </si>
  <si>
    <t>사업 종료 년도의 6개월 평균 유수율</t>
    <phoneticPr fontId="2" type="noConversion"/>
  </si>
  <si>
    <t>상수관망 전문유지관리 용역</t>
    <phoneticPr fontId="2" type="noConversion"/>
  </si>
  <si>
    <t>김범준</t>
    <phoneticPr fontId="2" type="noConversion"/>
  </si>
  <si>
    <t>전문유지관리용역</t>
    <phoneticPr fontId="2" type="noConversion"/>
  </si>
  <si>
    <t>정선인</t>
    <phoneticPr fontId="2" type="noConversion"/>
  </si>
  <si>
    <t>현대화사업 성과유수율 이상 유지
 - 성과 유수율 : 85.0%</t>
    <phoneticPr fontId="2" type="noConversion"/>
  </si>
  <si>
    <t>경북팀</t>
    <phoneticPr fontId="2" type="noConversion"/>
  </si>
  <si>
    <t>의성</t>
    <phoneticPr fontId="2" type="noConversion"/>
  </si>
  <si>
    <t>지방상수도 현대화사업
 유지관리</t>
    <phoneticPr fontId="2" type="noConversion"/>
  </si>
  <si>
    <t>백강욱</t>
    <phoneticPr fontId="2" type="noConversion"/>
  </si>
  <si>
    <t>준공시점 이전 12개월 평균 평균 유수율 85.0%
초기 유수율 : 24년 유수율</t>
    <phoneticPr fontId="2" type="noConversion"/>
  </si>
  <si>
    <t>준공시점 이전 6개월 평균 유수율 75.0%
초기 유수율 : 24년 유수율</t>
    <phoneticPr fontId="2" type="noConversion"/>
  </si>
  <si>
    <t>김주명</t>
    <phoneticPr fontId="2" type="noConversion"/>
  </si>
  <si>
    <t>성과대상구역 판정기간 평균 85% 유지
초기 유수율 산정 : 85%</t>
    <phoneticPr fontId="2" type="noConversion"/>
  </si>
  <si>
    <t>전체</t>
    <phoneticPr fontId="2" type="noConversion"/>
  </si>
  <si>
    <t>전체 유수율 연평균 83% 유지</t>
    <phoneticPr fontId="2" type="noConversion"/>
  </si>
  <si>
    <t>-</t>
    <phoneticPr fontId="2" type="noConversion"/>
  </si>
  <si>
    <t>상수도관망 
전문유지관리용역</t>
    <phoneticPr fontId="2" type="noConversion"/>
  </si>
  <si>
    <t>-</t>
    <phoneticPr fontId="2" type="noConversion"/>
  </si>
  <si>
    <t>현재
유수율</t>
    <phoneticPr fontId="2" type="noConversion"/>
  </si>
  <si>
    <t>현재까지
도달 유수율</t>
    <phoneticPr fontId="2" type="noConversion"/>
  </si>
  <si>
    <t>미달현황</t>
    <phoneticPr fontId="2" type="noConversion"/>
  </si>
  <si>
    <t>용역성격</t>
    <phoneticPr fontId="2" type="noConversion"/>
  </si>
  <si>
    <t>-</t>
    <phoneticPr fontId="2" type="noConversion"/>
  </si>
  <si>
    <t>성과대상구역 판정기간 평균 유수율 85% 달성
블록별 목표유수율 조건</t>
    <phoneticPr fontId="2" type="noConversion"/>
  </si>
  <si>
    <t>과업 종료시 각소블록 별 3개월 평균 83% 달성</t>
    <phoneticPr fontId="2" type="noConversion"/>
  </si>
  <si>
    <t>유수율
산정</t>
    <phoneticPr fontId="2" type="noConversion"/>
  </si>
  <si>
    <t>유수율 대상
소블록</t>
    <phoneticPr fontId="2" type="noConversion"/>
  </si>
  <si>
    <t>블록구축
완료</t>
    <phoneticPr fontId="2" type="noConversion"/>
  </si>
  <si>
    <t>목표유수율
달성 소블록</t>
    <phoneticPr fontId="2" type="noConversion"/>
  </si>
  <si>
    <t>유수율 100%
상회 블록</t>
    <phoneticPr fontId="2" type="noConversion"/>
  </si>
  <si>
    <t>16개소 목표 미달</t>
    <phoneticPr fontId="2" type="noConversion"/>
  </si>
  <si>
    <t>이성국</t>
    <phoneticPr fontId="2" type="noConversion"/>
  </si>
  <si>
    <t>-</t>
    <phoneticPr fontId="2" type="noConversion"/>
  </si>
  <si>
    <t>- 12월 혼재유량계 비교유량  측정결과 -5% 오차 확인(현 검교정 완료)
- 사업대상지 외지역으로 나가는 유량으로 유량이 많을 수록 유수율이 높음.</t>
    <phoneticPr fontId="2" type="noConversion"/>
  </si>
  <si>
    <t>25.12월</t>
    <phoneticPr fontId="2" type="noConversion"/>
  </si>
  <si>
    <t>성과대상구역 판정기간 평균 유수율 85% 달성
초기유수율 산정 기준 : 착수 전 2개월 평균 
준공시 총괄 유수율 적용 협의 완료
(관리는 블록별로 진행)</t>
    <phoneticPr fontId="2" type="noConversion"/>
  </si>
  <si>
    <t>- 성과판정일 목표유수율 도달 가시화 시점으로 변경
  → 26.05월 이후로 계획 중</t>
    <phoneticPr fontId="2" type="noConversion"/>
  </si>
  <si>
    <t>무안</t>
    <phoneticPr fontId="2" type="noConversion"/>
  </si>
  <si>
    <t>황은욱</t>
    <phoneticPr fontId="2" type="noConversion"/>
  </si>
  <si>
    <t>3차년도 12개월 평균</t>
    <phoneticPr fontId="2" type="noConversion"/>
  </si>
  <si>
    <t>- 3년차 최종 유수율 목표에 대한 협의 및 문서 작성 중</t>
    <phoneticPr fontId="2" type="noConversion"/>
  </si>
  <si>
    <t>12개소 목표 미달</t>
    <phoneticPr fontId="2" type="noConversion"/>
  </si>
  <si>
    <t xml:space="preserve">- 발주처 3차분 예산 미확보로 2차분 180일 용역 중지 </t>
    <phoneticPr fontId="2" type="noConversion"/>
  </si>
  <si>
    <t>- 야간 최소 유량 분석으로 특이사항 발생 시 누수탐사 진행</t>
    <phoneticPr fontId="2" type="noConversion"/>
  </si>
  <si>
    <t>- 중블록간 경계해재(시종[종속배수지 행정],군서)
- 수질이상 과업 외 지역(신북배수지) 급수진행 중 유수율 값 상이
- 년도별 목표 설정(26년 : 60% / 27년 : 70% / 28년 : 85%)</t>
    <phoneticPr fontId="2" type="noConversion"/>
  </si>
  <si>
    <t>강릉</t>
    <phoneticPr fontId="2" type="noConversion"/>
  </si>
  <si>
    <t>강현욱</t>
    <phoneticPr fontId="2" type="noConversion"/>
  </si>
  <si>
    <t>-</t>
    <phoneticPr fontId="2" type="noConversion"/>
  </si>
  <si>
    <t>블록별 목표 유수율 조건 
연차별 설정 변경 후 조건 달성</t>
    <phoneticPr fontId="2" type="noConversion"/>
  </si>
  <si>
    <t>- 소블록 유량계 미설치 및 미통신으로 인해 중블록 단위 유수율 산정
- 중블록 단위 유수율 및 특이사항 지속 검토</t>
    <phoneticPr fontId="2" type="noConversion"/>
  </si>
  <si>
    <t>1년 평균수율 61.5% 유지</t>
    <phoneticPr fontId="2" type="noConversion"/>
  </si>
  <si>
    <t>장수</t>
    <phoneticPr fontId="2" type="noConversion"/>
  </si>
  <si>
    <t>상수관망 유지관리 및 기술진단</t>
    <phoneticPr fontId="2" type="noConversion"/>
  </si>
  <si>
    <t>장규현</t>
    <phoneticPr fontId="2" type="noConversion"/>
  </si>
  <si>
    <t xml:space="preserve">3차년도 평균 유수율 85% 이상 </t>
    <phoneticPr fontId="2" type="noConversion"/>
  </si>
  <si>
    <t>- 유수율 및 경계밸브 조사시 블록고립이 해제되어 있는 것으로 확인
  → 26.02. ~ 26.04. 블록고립 계획 중이며, 완료 이후 초기 유수율 산정
  → 블록고립 확인 후 3개월간의 평균 유수율을 초기 유수율로 산정</t>
    <phoneticPr fontId="2" type="noConversion"/>
  </si>
  <si>
    <t>26.01월</t>
    <phoneticPr fontId="2" type="noConversion"/>
  </si>
  <si>
    <t>- 성과판정 기간 : 25-08-22 ~ 26-09-05
- 영암 중블록 유수율 급격한 하락</t>
    <phoneticPr fontId="2" type="noConversion"/>
  </si>
  <si>
    <t>-25.12월 중블록 경계차단 : 시종-군서, 신북(과업 외 지역) 유량계 설치 및 발주진행 중
- 상반기 소블록 고립확인 추진 및 소블록 내 구역 유량계 활용 계획(구역별 고립확인 추진단계)
- 누수탐사지속진행 및 누수복구 지연 관련 발주처 재촉 및 협조 요청</t>
    <phoneticPr fontId="2" type="noConversion"/>
  </si>
  <si>
    <t>-</t>
    <phoneticPr fontId="2" type="noConversion"/>
  </si>
  <si>
    <t>- 사용량 인정부과 및 동절기 퇴수로 인한 유수율 저조</t>
    <phoneticPr fontId="2" type="noConversion"/>
  </si>
  <si>
    <t>전창엽</t>
    <phoneticPr fontId="2" type="noConversion"/>
  </si>
  <si>
    <t>강원팀</t>
    <phoneticPr fontId="2" type="noConversion"/>
  </si>
  <si>
    <t>77개소 목표 미달</t>
    <phoneticPr fontId="2" type="noConversion"/>
  </si>
  <si>
    <t>배수민</t>
    <phoneticPr fontId="2" type="noConversion"/>
  </si>
  <si>
    <t>김보성</t>
    <phoneticPr fontId="2" type="noConversion"/>
  </si>
  <si>
    <t>김용천</t>
    <phoneticPr fontId="2" type="noConversion"/>
  </si>
  <si>
    <t>이창용</t>
    <phoneticPr fontId="2" type="noConversion"/>
  </si>
  <si>
    <t>경기팀</t>
    <phoneticPr fontId="2" type="noConversion"/>
  </si>
  <si>
    <t>경강팀</t>
    <phoneticPr fontId="2" type="noConversion"/>
  </si>
  <si>
    <t>- 동절기 누수발생으로 인한 탐사 실시, 명절 이후 누수복구 완료
  → 2월 유수율 소폭 상승 및 3월 유수율 상승 예상</t>
    <phoneticPr fontId="2" type="noConversion"/>
  </si>
  <si>
    <t>- 공사시 회색 PVC 관로 발견되면 전량 PE관으로 교체, 불용관 의심관로 철거 철저
- 봉성-3블록 노후관로 강관250 관로교체
- 창선-1블록 누수다발관 PE750 관로교체</t>
    <phoneticPr fontId="2" type="noConversion"/>
  </si>
  <si>
    <t>- BY 소블록 유량계 고장으로 25.12, 26.01월 정수장 유출자료로 유수율 산정</t>
    <phoneticPr fontId="2" type="noConversion"/>
  </si>
  <si>
    <t>26.02월</t>
    <phoneticPr fontId="2" type="noConversion"/>
  </si>
  <si>
    <t>블록별</t>
    <phoneticPr fontId="2" type="noConversion"/>
  </si>
  <si>
    <t>- 사업소 보고완료 월간공정 보고시 공문처리 예정
- 검교정 후 88.1% 이상 유지</t>
    <phoneticPr fontId="2" type="noConversion"/>
  </si>
  <si>
    <t>- 유수율 산정 기간 사업소와 조율 중</t>
    <phoneticPr fontId="2" type="noConversion"/>
  </si>
  <si>
    <t>- 중블록별 목표유수율 기준, 목표유수율 미달성에 대한 원인 사업소 보고 필요</t>
    <phoneticPr fontId="2" type="noConversion"/>
  </si>
  <si>
    <t>- 과업기간 내 누수탐사 물량 수행 및 목표유수율 달성 시 준공 가능
- 각화2-4 소블록 유수율 저조 관련 점검
- 산수1, 월산2-8, 송하13 소블록 유수율 100% 초과
- 1월 유수율 저조 : 동절기 야간최소유량 상승</t>
    <phoneticPr fontId="2" type="noConversion"/>
  </si>
  <si>
    <t>- 필요시 과업기간까지 누수관리 후 일시중지하여 유수율 판정기간 소요 필요
- 26.03.04 본부 협의 후 각화2-4 소블록 유량계 영점 교정 완료
  → 경계밸브 차단 진행완료(26.03.11), 야간최소유량 변동 중(80㎥/hr → 40㎥/hr)
- 산수1 : 경계밸브 2개소 개방 확인, 협의 후 차단예정
  월산2-8 : 경계밸브 12월 차단완료, 1월 유수율 109.5%로 2월 유수율까지 확인 예정
  송하13 : 기아자동차 사용량에 의한 상승 예상, 경계밸브 점검 검토 중
- 1월 이후 야간최소유량 저감, 이후 유수율 모니터링 중</t>
    <phoneticPr fontId="2" type="noConversion"/>
  </si>
  <si>
    <t>- SA01 블록, 중앙5블록 유수율 미달</t>
    <phoneticPr fontId="2" type="noConversion"/>
  </si>
  <si>
    <t>- 지속적인 누수탐사 및 단계시험 실시예정
- 과업지시서 내용으로 정비대상관로 선정 제시, 정비공사 미실시로 인한 누수량은 단계시험으로 누수량 산정하여 해당 누수량은 공급량에서 제외</t>
    <phoneticPr fontId="2" type="noConversion"/>
  </si>
  <si>
    <t>박정훈</t>
    <phoneticPr fontId="2" type="noConversion"/>
  </si>
  <si>
    <t>-</t>
    <phoneticPr fontId="2" type="noConversion"/>
  </si>
  <si>
    <t>- YS-14 잔여 관망정비 공사를 통해 목표유수율 도달 및 유지 가능
- YS-14 저지대 감압 계획</t>
    <phoneticPr fontId="2" type="noConversion"/>
  </si>
  <si>
    <t>4.4% 미달</t>
    <phoneticPr fontId="2" type="noConversion"/>
  </si>
  <si>
    <t>- 누수탐사 공정에서 계획대비 성과 낮은 이유는 1, 2차년도 집중누수탐사로 유수율 향상이후 야간최소유량 변동이 적고, 누수 발생 빈도가 낮음
- 100% 초과 블록 : 금성
- 85% 미만 블록 : 강동, 신호 중블록
- 금성 : 3/23일 유량계 이상으로 점검 완료
- 신호 : DH-1 블록 경계 유량계 고장으로 공급량 산정 안됨 교체 요청 완료
- 강동 : 유출유량계 바로 전단에 가압장이 있어 유량값 오차가 커서 현재 사업소에 유량계 위치 이동 요청완료</t>
    <phoneticPr fontId="2" type="noConversion"/>
  </si>
  <si>
    <t>- 1월 유수율 분석 : 81.0%(성과보증 5개월 누적 : 84.9%) 
- 목표야간최소유량은 도달한 상태</t>
    <phoneticPr fontId="2" type="noConversion"/>
  </si>
  <si>
    <t>-  원주(신) 노후관 정비사업 대상지역에 대해서는 사업 추진에 따른 중복 우려가 있어 누수탐사 지양</t>
    <phoneticPr fontId="2" type="noConversion"/>
  </si>
  <si>
    <t>-  3월 중 누수복구가 다수 진행됨에 따라 유수율 상승 예상</t>
    <phoneticPr fontId="2" type="noConversion"/>
  </si>
  <si>
    <t>▶ 문제블록(불량_70~80%)
-516블록(구축-26.02월 야간최소 약 62㎥/h, 전월대비 1㎥/h감소)
  ☞ 구월동 1367-1 불용관(누수징후) 정비 예정(강관 50mm)
-517블록(구축-26.02월 야간최소 약 88㎥/h, 전월대비 4㎥/h감소)
  ☞ 2월 수리 2건완료 / 2차년도 단계시험 계획(부분)
-531블록(구축- 26.02월 야간최소 약 116㎥/h, 전월대비 104㎥/h감소)
  ☞ 3월 수리 1건예정 / 3월 유수율 확인 예정
-544블록(구축- 26.02월 야간최소 약 3㎥/h, 전월대비 1㎥/h감소)
  ☞ 사용량 낮은 블록(5,723㎥/m)_검침기간 편차로 유수율 영향
-545블록(구축- 26.02월 야간최소 약 5㎥/h, 전월대비 0㎥/h감소)
  ☞ 사용량 낮은 블록(5,459㎥/m)_검침기간 편차로 유수율 영향
▶문제블록(심각_104% 초과)
-509블록(구축-경계밸브 1개소 개방)
  ☞ 블록 경계밸브 조사를 통해 경계1개소 개방 확인하여 재차단 완료(26.03)
      차단주의 문구 부착 완료 / 3월 유수율 확인 예정 
-520,522,537,547블록(구축-유량 측정지간 및 공급량 검침기간 차이)
  ☞ 1월 공급량 비교 부과량에 비해 현저히 감소 / 일시적으로 예상
-549블록(블록분할 후 블록고립 및 구축 예정)
  ☞ 남동공단 548-&gt;549-&gt;551 가감블록 / 블록분할 필요
▶문제블록(심각_70% 미만)
-525블록(구축-26.02월, 야간최소 약 104㎥/h 전월대비 4㎥/h감소)
  ☞ 3월 재개발 지역 단계시험 실시 / 약 30㎥/h 지역 확인 완료
-526블록(구축-26.02월, 야간최소 약 24㎥/h 전월대비 2㎥/h감소)
  ☞ 2차년도 단계시험 계획
▶문제블록(심각_산정불가)
-502블록(구축)
  ☞ 유량계 전기 케이블 누전으로 조지(3월 유수율 정상 예상)
▶문제블록(블록해제)
-539블록(해제)
  ☞농산물시장 영향으로 고지대 소출수_경계1개소 개방 중
     552블록과 경계 재선정 계획
▶문제블록(미구축)
-511블록
  ☞ 511블록 유량계 신설 예정(26년도)
-552블록(계획블록)
  ☞ 첨단산업단지 재개발 지역으로 완료 후 상수도 시설물 이관 및 인접블록 
      경계 재수정 하여 정상화 계획</t>
    <phoneticPr fontId="2" type="noConversion"/>
  </si>
  <si>
    <t>▶ 문제블록(불량_70~80%)
-409블록(구축- 26.02월 야간최소 약 68㎥/h, 전월대비 7㎥/h감소)
  ☞ 2월 수리 3건완료 / 3월에 수리 1건 후 야간최소유량 55㎥/h 으로 감소 확인, 3월 유수율 확인 예정
-419블록(구축- 26.02월 야간최소 약 11㎥/h, 전월대비 1㎥/h감소)
  ☞ 경계밸브 조사를 통해 공급구역 재검토 및 누수탐사 예정
-417블록(구축-26.01월 야간최소 약 61㎥/h 전월대비 동일)
  ☞ 26년4월중 439블록 단계시험 예정이며, 이후 417블록 부분고립법을 사용하여 단계시험 계획 예정(밸브조사를 통해 도상검토는 완료하였으며, 공급구역 내 가압범위 3개정도로 사업소와 협의 볼 예정)
▶문제블록(심각_104% 초과)
-405, 436블록(야간최소 변동없음)
  ☞ 블록 경계밸브 조사를 통해 공급구역 재검토 예정
-415블록(고립미실시)
  ☞ 블록 내 시설물 관리주체인 항만공사와 사업소의 관망도 일치율이 낮음, 항만공사 측 유지관리 용역의 시설물 조사 결과를 반영하여 추후 공급구역 재검토 예정
▶문제블록(심각_70% 미만)
-421블록(구축-22.11월, 야간최소 약 11㎥/h 전월대비 동일)
  ☞ 경계밸브 조사결과, 블록 공급구역에 이상없음을 확인, 3월 유수율 확인예정
-427블록(구축-22.11월, 야간최소 약 1㎥/h 전월대비 동일)
  ☞ 블록내와 삼성단독라인(블록외) 2공장 밸브 전개확인, 4월1주차 부터 점진적 차단예정이며, 3월 유수율 확인 예정
▶문제블록(심각_산정불가)
-411블록(구축)
  ☞ 3월3주차 수리완료, 3월 유수율 확인 예정
▶문제블록(블록해제)
-430블록(해제)
  ☞ 송도역세권 재개발 구역으로 블록 해제된 상태이며, 도시개발 및 임시관로의 관리주체는 HDC(현대산업개발)임, 임시관로를 통해 급수 중인 수용가 약 4개(옥련여고, 국제사격장 등)
최근 개발단계에서 임시관로를 통해 급수 중인 옥련여고 수질민원 발생으로 사업소 요청으로 해제된 블록에 대해서도 주기적인 수질관리 요청을 받음
  ☞ 월1회 주기적인 방류 실시와 수질 체크 /  개발진행 단계 확인 정도로 마무리
▶문제블록(미구축)
-429블록(미구축-고립실시완료)
  ☞ 429-1 데이터 정상, 429-2 관세척 선행 되야하고, 유량계 신설 및 유입경로 변경예정(세척은 수질팀에서)
-431블록(미구축-고립미실시(대수용가 150개)
  ☞ 431-1,431-2 데이터 정상, 431-3 경계청 측 부지매각 진행 중
-432블록(미구축-고립실시완료)
  ☞ 432-1,-2,-3,-4 25년12월 유량계 신설완료
       432-1,-3,-4 데이터 정상, 432-2 관세척 선행 되야하고, 유량계 신설 및 유입경로 변경예정(세척은 수질팀에서)
-433블록(미구축-고립실시완료)
  ☞ 433-1,433-2 데이터 정상, 433-3 관세척 선행 되야하고, 유량계 신설 및 유입경로 변경예정(세척은 수질팀에서)
-443블록(미구축)
  ☞ 아암물류 2단지 관련 부지 일부를 이관받은 상태로, 해당 구역은 항만공사·해수부·경제청·본부·사업소 등 다수 기관이 관련되어 있음
  ☞ 443블록의 1일 계획사용량은 17,500톤이나 실제 사용량은 47톤 수준으로 정체되어 있어 잔류염소 확보가 어려운 상태임
  ☞ 이에 따라 잔류염소 확보를 위해 442블록과의 경계를 개방한 상태이며, 해당 구간의 유수율 분석은 향후 본부에서 기준을 정해줄 예정임</t>
    <phoneticPr fontId="2" type="noConversion"/>
  </si>
  <si>
    <t>▶ 유수율 및 야간최소유량 모니터링을 통해 경계밸브 조사 및 지속적인 누수탐사 실시 예정
▶ 2월 누수적출 14건, 수리 10건(단계시험 결과로 확인탐사 실시)
▶ 2차년도 단계시험 계획
▶ 인천 특성상 100% 초과~104%미만은 검침일자 및 공급일 차이에 따른 변동 반영 인정
 → 따라서 104%초과, 미구축, 해제, 산정불가 블록은 유수율 70%로 보정값 적용</t>
    <phoneticPr fontId="2" type="noConversion"/>
  </si>
  <si>
    <t>▶ 유수율 및 야간최소유량 모니터링을 통해 경계밸브 조사 및 지속적인 누수탐사 실시 예정
▶ 2월 누수적출 17건, 수리 19건
▶ 인천 특성상 100% 초과~104%미만은 검침일자 및 공급일 차이에 따른 변동 반영 인정
 → 따라서 104%초과, 미구축, 해제, 산정불가 블록은 유수율 70%로 보정값 적용</t>
    <phoneticPr fontId="2" type="noConversion"/>
  </si>
  <si>
    <t>- 부과량 문제로 사업소에서 부과량 수정 작업 진행 중
  → 완료 이후 25.10월 유수율 산정 가능
- 25.12월 동절기 퇴수밸브 개방 진행으로 25.11 ~ 26.03월 까지 유수율 하락 예상</t>
    <phoneticPr fontId="2" type="noConversion"/>
  </si>
  <si>
    <t>- 25.08. ~ 25.10월 야간최소유량 평균값과 동절기 퇴수밸브 개방기간 야간최소유량 평균값의 차이를 통해 사용량 적용 예정
- 12월 전체유수율 78%, 부과량 수정, 퇴수량 적용 후 약 84% 예상</t>
    <phoneticPr fontId="2" type="noConversion"/>
  </si>
  <si>
    <t>- 유수율 저조블록에 대한 누수탐사 계속해서 진행 중
- 영암2~5 검교정 요청, 검교정 진행 시 영암1 유출 유량 비교유량 측정
- 영암 중블록에 대한 주,야간 집중누수탐사 실시
- 타 현장 누수탐사 지원 요청
- 누수의심 구간 차단 밸브 설치 요청 중</t>
    <phoneticPr fontId="2" type="noConversion"/>
  </si>
  <si>
    <t>18.1% 미달</t>
    <phoneticPr fontId="2" type="noConversion"/>
  </si>
  <si>
    <t>13.8% 미달</t>
    <phoneticPr fontId="2" type="noConversion"/>
  </si>
  <si>
    <t>7.0% 미달</t>
    <phoneticPr fontId="2" type="noConversion"/>
  </si>
  <si>
    <t>11개소 목표 미달</t>
    <phoneticPr fontId="2" type="noConversion"/>
  </si>
  <si>
    <t>- 야간최소유량 상승블록 집중 관리</t>
    <phoneticPr fontId="2" type="noConversion"/>
  </si>
  <si>
    <t>- 성과판정 초기 검침 완료(9,518전)
- 성과판정 기간 : 25-09-02 ~ 26-09-01</t>
    <phoneticPr fontId="2" type="noConversion"/>
  </si>
  <si>
    <t>- 연차별 유수율 달성 여부 및 성과평가 심의 논의 중</t>
    <phoneticPr fontId="2" type="noConversion"/>
  </si>
  <si>
    <t>- 사후관리 용역임에도 불구하고 성과평가 심의를 한국상하수도협회에서 진행
- 유수율 차주 업데이트 예정</t>
    <phoneticPr fontId="2" type="noConversion"/>
  </si>
  <si>
    <t/>
  </si>
  <si>
    <t xml:space="preserve">- 기존 마을상수도 사용 지역에서 광역상수도 전환하는 과정에서, 별도의 관로 신설 없이 노후된 기존 마을상수관로나 마을배수지에 그대로 연결하여 급수. 이로 인해 노후된 마을상수도 관로에서 지속적인 누수가 발생, 도수등의 부정급수가 지속적으로 발생하는 문제점이 확인. 이로인하여 사업소에 지속적으로 보고하여 인지하고 있으며, 현재 지자체 재정상 마을별로 관로를 현실적으로 한번에 진행 할 수가 없으므로 추후 단계적으로 교체를 진행하여야 할 것 같다라는 답변 유지관리 보고서 작성시 이러한 부분이 향후 유지관리에 개선이 될 수 있도록 요청함. </t>
    <phoneticPr fontId="2" type="noConversion"/>
  </si>
  <si>
    <t>- 2,3년차 유수율 85%이상
- 화천다리 공사로 인하여 유량계 전원이 나가있는 상태 공급량 판단이 안되는 상황 화천2,3,4블록 유수율 판단 불가(26.03월 중순 수리 예정)
- 산양 1블록, 사창 1블록 공사입회 예정
- 사창 1블록 03.30 ~ 04.03 누수복구공사 입회 완료(5개소)</t>
    <phoneticPr fontId="2" type="noConversion"/>
  </si>
  <si>
    <t>- 검침량의 오차로 인한 유수율 하락 추정
- 검침일자의 고정성 감독관 요청</t>
    <phoneticPr fontId="2" type="noConversion"/>
  </si>
  <si>
    <t>-</t>
    <phoneticPr fontId="2" type="noConversion"/>
  </si>
  <si>
    <t>- 현대화 사업 미준공 상태(성과판정 기간 : 25.09.15 ~ 26.09.15)
- 교동2 블록 경계 풀림
- 교동4 경계 차단 및 고립확인 실시 → 결과 확인 중</t>
    <phoneticPr fontId="2" type="noConversion"/>
  </si>
  <si>
    <t xml:space="preserve">- 3차년도(25.06 ~ 26.02) 평균유수율 현황 : 83.2%
- 중블록 유량계를 통해 유수율 산정 </t>
    <phoneticPr fontId="2" type="noConversion"/>
  </si>
  <si>
    <t>- 3차년도(25.06 ~ 26.02) 평균유수율 현황 : 84.9%</t>
    <phoneticPr fontId="2" type="noConversion"/>
  </si>
  <si>
    <t xml:space="preserve">- 3차년도(25.06 ~ 26.02) 평균유수율 현황 : 80.5%
- 중블록 유량계를 통해 유수율 산정 </t>
    <phoneticPr fontId="2" type="noConversion"/>
  </si>
  <si>
    <t>11.3% 미달</t>
    <phoneticPr fontId="2" type="noConversion"/>
  </si>
  <si>
    <t>6.9% 미달</t>
    <phoneticPr fontId="2" type="noConversion"/>
  </si>
  <si>
    <t>26.03월</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</si>
</sst>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0%"/>
    <numFmt numFmtId="177" formatCode="##&quot;일&quot;"/>
    <numFmt numFmtId="178" formatCode="##,###&quot;㎥&quot;"/>
    <numFmt numFmtId="179" formatCode="#,###&quot;㎥&quot;"/>
    <numFmt numFmtId="180" formatCode="###&quot;개&quot;&quot;소&quot;"/>
    <numFmt numFmtId="181" formatCode="##&quot;개&quot;&quot;소&quot;"/>
    <numFmt numFmtId="182" formatCode="###&quot;일&quot;"/>
  </numFmts>
  <fonts count="22"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KoPubWorld돋움체 Medium"/>
      <family val="3"/>
      <charset val="129"/>
    </font>
    <font>
      <b/>
      <sz val="11"/>
      <color theme="1"/>
      <name val="KoPubWorld돋움체 Medium"/>
      <family val="3"/>
      <charset val="129"/>
    </font>
    <font>
      <sz val="11"/>
      <color theme="0"/>
      <name val="KoPubWorld돋움체 Medium"/>
      <family val="3"/>
      <charset val="129"/>
    </font>
    <font>
      <b/>
      <sz val="11"/>
      <color theme="0"/>
      <name val="KoPubWorld돋움체 Medium"/>
      <family val="3"/>
      <charset val="129"/>
    </font>
    <font>
      <b/>
      <sz val="12"/>
      <color theme="1"/>
      <name val="KoPubWorld돋움체 Medium"/>
      <family val="3"/>
      <charset val="129"/>
    </font>
    <font>
      <b/>
      <sz val="14"/>
      <color theme="1"/>
      <name val="KoPubWorld돋움체 Medium"/>
      <family val="3"/>
      <charset val="129"/>
    </font>
    <font>
      <sz val="14"/>
      <color theme="1"/>
      <name val="KoPubWorld돋움체 Medium"/>
      <family val="3"/>
      <charset val="129"/>
    </font>
    <font>
      <b/>
      <sz val="14"/>
      <color theme="0"/>
      <name val="KoPubWorld돋움체 Medium"/>
      <family val="3"/>
      <charset val="129"/>
    </font>
    <font>
      <b/>
      <sz val="14"/>
      <name val="KoPubWorld돋움체 Medium"/>
      <family val="3"/>
      <charset val="129"/>
    </font>
    <font>
      <b/>
      <sz val="36"/>
      <color theme="0"/>
      <name val="KoPubWorld돋움체 Bold"/>
      <family val="3"/>
      <charset val="129"/>
    </font>
    <font>
      <sz val="18"/>
      <color theme="0"/>
      <name val="KoPubWorld돋움체 Medium"/>
      <family val="3"/>
      <charset val="129"/>
    </font>
    <font>
      <b/>
      <sz val="18"/>
      <color theme="0"/>
      <name val="KoPubWorld돋움체 Medium"/>
      <family val="3"/>
      <charset val="129"/>
    </font>
    <font>
      <b/>
      <sz val="18"/>
      <color rgb="FFFFFF00"/>
      <name val="KoPubWorld돋움체 Medium"/>
      <family val="3"/>
      <charset val="129"/>
    </font>
    <font>
      <sz val="18"/>
      <color rgb="FFFFFF00"/>
      <name val="KoPubWorld돋움체 Medium"/>
      <family val="3"/>
      <charset val="129"/>
    </font>
    <font>
      <b/>
      <sz val="18"/>
      <color rgb="FFFF0000"/>
      <name val="KoPubWorld돋움체 Medium"/>
      <family val="3"/>
      <charset val="129"/>
    </font>
    <font>
      <sz val="14"/>
      <name val="KoPubWorld돋움체 Medium"/>
      <family val="3"/>
      <charset val="129"/>
    </font>
    <font>
      <sz val="14"/>
      <color rgb="FFFF0000"/>
      <name val="KoPubWorld돋움체 Medium"/>
      <family val="3"/>
      <charset val="129"/>
    </font>
    <font>
      <b/>
      <sz val="15"/>
      <color indexed="81"/>
      <name val="돋움"/>
      <family val="3"/>
      <charset val="129"/>
    </font>
    <font>
      <b/>
      <sz val="15"/>
      <color indexed="81"/>
      <name val="Tahoma"/>
      <family val="2"/>
    </font>
  </fonts>
  <fills count="14">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4.9989318521683403E-2"/>
        <bgColor indexed="64"/>
      </patternFill>
    </fill>
    <fill>
      <patternFill patternType="solid">
        <fgColor theme="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hair">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top style="hair">
        <color indexed="64"/>
      </top>
      <bottom style="thin">
        <color indexed="64"/>
      </bottom>
      <diagonal/>
    </border>
    <border>
      <left style="medium">
        <color indexed="64"/>
      </left>
      <right/>
      <top/>
      <bottom/>
      <diagonal/>
    </border>
    <border>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hair">
        <color indexed="64"/>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hair">
        <color indexed="64"/>
      </bottom>
      <diagonal/>
    </border>
    <border>
      <left/>
      <right style="medium">
        <color indexed="64"/>
      </right>
      <top style="medium">
        <color indexed="64"/>
      </top>
      <bottom/>
      <diagonal/>
    </border>
    <border>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280">
    <xf numFmtId="0" fontId="0" fillId="0" borderId="0" xfId="0">
      <alignment vertical="center"/>
    </xf>
    <xf numFmtId="0" fontId="7" fillId="3" borderId="9" xfId="0" applyFont="1" applyFill="1" applyBorder="1" applyAlignment="1">
      <alignment horizontal="center" vertical="center" wrapText="1"/>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7" fillId="9" borderId="9" xfId="0" applyFont="1" applyFill="1" applyBorder="1" applyAlignment="1">
      <alignment horizontal="center" vertical="center"/>
    </xf>
    <xf numFmtId="0" fontId="7" fillId="9"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7" fillId="9" borderId="10" xfId="0" applyFont="1" applyFill="1" applyBorder="1" applyAlignment="1">
      <alignment horizontal="center" vertical="center"/>
    </xf>
    <xf numFmtId="176" fontId="9" fillId="0" borderId="2" xfId="0" applyNumberFormat="1" applyFont="1" applyBorder="1" applyAlignment="1">
      <alignment horizontal="center" vertical="center"/>
    </xf>
    <xf numFmtId="0" fontId="9" fillId="0" borderId="11" xfId="0" applyFont="1" applyBorder="1" applyAlignment="1">
      <alignment horizontal="center" vertical="center"/>
    </xf>
    <xf numFmtId="0" fontId="9" fillId="0" borderId="2" xfId="1" applyNumberFormat="1" applyFont="1" applyBorder="1" applyAlignment="1">
      <alignment horizontal="center" vertical="center"/>
    </xf>
    <xf numFmtId="41" fontId="9" fillId="0" borderId="2" xfId="1" applyFont="1" applyBorder="1" applyAlignment="1">
      <alignment horizontal="center" vertical="center"/>
    </xf>
    <xf numFmtId="179" fontId="9" fillId="0" borderId="12" xfId="0" applyNumberFormat="1" applyFont="1" applyBorder="1" applyAlignment="1">
      <alignment horizontal="center" vertical="center"/>
    </xf>
    <xf numFmtId="0" fontId="9" fillId="0" borderId="54" xfId="0" applyFont="1" applyBorder="1" applyAlignment="1">
      <alignment horizontal="center" vertical="center"/>
    </xf>
    <xf numFmtId="0" fontId="9" fillId="0" borderId="12" xfId="0" applyFont="1" applyBorder="1" applyAlignment="1">
      <alignment horizontal="center" vertical="center"/>
    </xf>
    <xf numFmtId="176" fontId="10" fillId="11" borderId="42" xfId="0" applyNumberFormat="1" applyFont="1" applyFill="1" applyBorder="1" applyAlignment="1">
      <alignment horizontal="center" vertical="center"/>
    </xf>
    <xf numFmtId="14" fontId="11" fillId="12" borderId="3" xfId="0" applyNumberFormat="1" applyFont="1" applyFill="1" applyBorder="1" applyAlignment="1">
      <alignment horizontal="center" vertical="center"/>
    </xf>
    <xf numFmtId="0" fontId="11" fillId="12" borderId="26" xfId="0" applyFont="1" applyFill="1" applyBorder="1" applyAlignment="1">
      <alignment horizontal="center" vertical="center"/>
    </xf>
    <xf numFmtId="0" fontId="9" fillId="12" borderId="24" xfId="0" applyFont="1" applyFill="1" applyBorder="1" applyAlignment="1">
      <alignment horizontal="center" vertical="center"/>
    </xf>
    <xf numFmtId="0" fontId="9" fillId="12" borderId="20" xfId="0" applyFont="1" applyFill="1" applyBorder="1" applyAlignment="1">
      <alignment horizontal="center" vertical="center"/>
    </xf>
    <xf numFmtId="0" fontId="9" fillId="0" borderId="37" xfId="0" applyFont="1" applyBorder="1" applyAlignment="1">
      <alignment horizontal="center" vertical="center"/>
    </xf>
    <xf numFmtId="0" fontId="9" fillId="0" borderId="22" xfId="0" applyFont="1" applyBorder="1" applyAlignment="1">
      <alignment horizontal="center" vertical="center"/>
    </xf>
    <xf numFmtId="176" fontId="9" fillId="0" borderId="23" xfId="0" applyNumberFormat="1" applyFont="1" applyBorder="1" applyAlignment="1">
      <alignment horizontal="center" vertical="center"/>
    </xf>
    <xf numFmtId="0" fontId="9" fillId="0" borderId="21" xfId="0" applyFont="1" applyBorder="1" applyAlignment="1">
      <alignment horizontal="center" vertical="center"/>
    </xf>
    <xf numFmtId="179" fontId="9" fillId="0" borderId="23" xfId="0" applyNumberFormat="1" applyFont="1" applyBorder="1" applyAlignment="1">
      <alignment horizontal="center" vertical="center"/>
    </xf>
    <xf numFmtId="0" fontId="9" fillId="0" borderId="23" xfId="0" applyFont="1" applyBorder="1" applyAlignment="1">
      <alignment horizontal="center" vertical="center"/>
    </xf>
    <xf numFmtId="0" fontId="10" fillId="11" borderId="49" xfId="0" applyFont="1" applyFill="1" applyBorder="1" applyAlignment="1">
      <alignment horizontal="center" vertical="center"/>
    </xf>
    <xf numFmtId="0" fontId="9" fillId="12" borderId="13" xfId="0" applyFont="1" applyFill="1" applyBorder="1" applyAlignment="1">
      <alignment horizontal="center" vertical="center"/>
    </xf>
    <xf numFmtId="0" fontId="9" fillId="12" borderId="14" xfId="0" applyFont="1" applyFill="1" applyBorder="1" applyAlignment="1">
      <alignment horizontal="center" vertical="center"/>
    </xf>
    <xf numFmtId="0" fontId="9" fillId="12" borderId="15" xfId="0" applyFont="1" applyFill="1" applyBorder="1" applyAlignment="1">
      <alignment horizontal="center" vertical="center"/>
    </xf>
    <xf numFmtId="0" fontId="9" fillId="12" borderId="49" xfId="0" applyFont="1" applyFill="1" applyBorder="1" applyAlignment="1">
      <alignment horizontal="center" vertical="center"/>
    </xf>
    <xf numFmtId="176" fontId="9" fillId="0" borderId="54" xfId="0" applyNumberFormat="1" applyFont="1" applyBorder="1" applyAlignment="1">
      <alignment horizontal="center" vertical="center"/>
    </xf>
    <xf numFmtId="0" fontId="9" fillId="0" borderId="2" xfId="0" applyFont="1" applyBorder="1" applyAlignment="1">
      <alignment horizontal="center" vertical="center"/>
    </xf>
    <xf numFmtId="0" fontId="9" fillId="12" borderId="26" xfId="0" applyFont="1" applyFill="1" applyBorder="1" applyAlignment="1">
      <alignment horizontal="center" vertical="center"/>
    </xf>
    <xf numFmtId="0" fontId="9" fillId="12" borderId="42" xfId="0" applyFont="1" applyFill="1" applyBorder="1" applyAlignment="1">
      <alignment horizontal="center" vertical="center"/>
    </xf>
    <xf numFmtId="0" fontId="6" fillId="11" borderId="0" xfId="0" applyFont="1" applyFill="1">
      <alignment vertical="center"/>
    </xf>
    <xf numFmtId="0" fontId="3" fillId="0" borderId="0" xfId="0" applyFont="1">
      <alignment vertical="center"/>
    </xf>
    <xf numFmtId="0" fontId="4" fillId="0" borderId="0" xfId="0" applyFont="1">
      <alignment vertical="center"/>
    </xf>
    <xf numFmtId="0" fontId="7" fillId="0" borderId="0" xfId="0" applyFont="1">
      <alignment vertical="center"/>
    </xf>
    <xf numFmtId="0" fontId="3" fillId="0" borderId="0" xfId="0" applyFont="1" applyAlignment="1">
      <alignment horizontal="center" vertical="center"/>
    </xf>
    <xf numFmtId="0" fontId="12" fillId="11" borderId="0" xfId="0" applyFont="1" applyFill="1">
      <alignment vertical="center"/>
    </xf>
    <xf numFmtId="0" fontId="5" fillId="13" borderId="0" xfId="0" applyFont="1" applyFill="1">
      <alignment vertical="center"/>
    </xf>
    <xf numFmtId="176" fontId="9" fillId="0" borderId="22" xfId="0" applyNumberFormat="1" applyFont="1" applyBorder="1" applyAlignment="1">
      <alignment horizontal="center" vertical="center"/>
    </xf>
    <xf numFmtId="0" fontId="9" fillId="0" borderId="22" xfId="1" applyNumberFormat="1" applyFont="1" applyBorder="1" applyAlignment="1">
      <alignment horizontal="center" vertical="center"/>
    </xf>
    <xf numFmtId="176" fontId="8" fillId="12" borderId="18" xfId="2" applyNumberFormat="1" applyFont="1" applyFill="1" applyBorder="1" applyAlignment="1">
      <alignment horizontal="center" vertical="center"/>
    </xf>
    <xf numFmtId="176" fontId="8" fillId="12" borderId="19" xfId="2" applyNumberFormat="1" applyFont="1" applyFill="1" applyBorder="1" applyAlignment="1">
      <alignment horizontal="center" vertical="center"/>
    </xf>
    <xf numFmtId="14" fontId="18" fillId="12" borderId="14" xfId="0" applyNumberFormat="1" applyFont="1" applyFill="1" applyBorder="1" applyAlignment="1">
      <alignment horizontal="center" vertical="center"/>
    </xf>
    <xf numFmtId="0" fontId="18" fillId="12" borderId="48" xfId="0" applyFont="1" applyFill="1" applyBorder="1" applyAlignment="1">
      <alignment horizontal="center" vertical="center"/>
    </xf>
    <xf numFmtId="41" fontId="8" fillId="12" borderId="19" xfId="1" applyFont="1" applyFill="1" applyBorder="1" applyAlignment="1">
      <alignment horizontal="center" vertical="center"/>
    </xf>
    <xf numFmtId="0" fontId="8" fillId="12" borderId="3" xfId="0" applyFont="1" applyFill="1" applyBorder="1" applyAlignment="1">
      <alignment horizontal="center" vertical="center"/>
    </xf>
    <xf numFmtId="14" fontId="9" fillId="0" borderId="2" xfId="0" applyNumberFormat="1" applyFont="1" applyBorder="1" applyAlignment="1">
      <alignment horizontal="center" vertical="center"/>
    </xf>
    <xf numFmtId="0" fontId="9" fillId="12" borderId="3" xfId="0" applyFont="1" applyFill="1" applyBorder="1" applyAlignment="1">
      <alignment horizontal="center" vertical="center"/>
    </xf>
    <xf numFmtId="14" fontId="19" fillId="0" borderId="2" xfId="0" applyNumberFormat="1" applyFont="1" applyBorder="1" applyAlignment="1">
      <alignment horizontal="center" vertical="center"/>
    </xf>
    <xf numFmtId="0" fontId="19" fillId="12" borderId="20" xfId="0" applyFont="1" applyFill="1" applyBorder="1" applyAlignment="1">
      <alignment horizontal="center" vertical="center"/>
    </xf>
    <xf numFmtId="0" fontId="19" fillId="12" borderId="3" xfId="0" applyFont="1" applyFill="1" applyBorder="1" applyAlignment="1">
      <alignment horizontal="center" vertical="center"/>
    </xf>
    <xf numFmtId="0" fontId="9" fillId="0" borderId="31" xfId="0" applyFont="1" applyBorder="1" applyAlignment="1">
      <alignment horizontal="center" vertical="center"/>
    </xf>
    <xf numFmtId="177" fontId="9" fillId="12" borderId="3" xfId="0" applyNumberFormat="1" applyFont="1" applyFill="1" applyBorder="1" applyAlignment="1">
      <alignment horizontal="center" vertical="center"/>
    </xf>
    <xf numFmtId="41" fontId="9" fillId="0" borderId="22" xfId="1" applyFont="1" applyBorder="1" applyAlignment="1">
      <alignment horizontal="center" vertical="center"/>
    </xf>
    <xf numFmtId="14" fontId="9" fillId="0" borderId="22" xfId="0" applyNumberFormat="1" applyFont="1" applyBorder="1" applyAlignment="1">
      <alignment horizontal="center" vertical="center"/>
    </xf>
    <xf numFmtId="176" fontId="8" fillId="12" borderId="20" xfId="2" applyNumberFormat="1" applyFont="1" applyFill="1" applyBorder="1" applyAlignment="1">
      <alignment horizontal="center" vertical="center"/>
    </xf>
    <xf numFmtId="0" fontId="19" fillId="12" borderId="42" xfId="0" applyFont="1" applyFill="1" applyBorder="1" applyAlignment="1">
      <alignment horizontal="center" vertical="center"/>
    </xf>
    <xf numFmtId="181" fontId="9" fillId="0" borderId="37" xfId="1" applyNumberFormat="1" applyFont="1" applyBorder="1" applyAlignment="1">
      <alignment horizontal="center" vertical="center"/>
    </xf>
    <xf numFmtId="181" fontId="9" fillId="0" borderId="23" xfId="1" applyNumberFormat="1" applyFont="1" applyBorder="1" applyAlignment="1">
      <alignment horizontal="center" vertical="center"/>
    </xf>
    <xf numFmtId="181" fontId="9" fillId="0" borderId="22" xfId="1" applyNumberFormat="1" applyFont="1" applyBorder="1" applyAlignment="1">
      <alignment horizontal="center" vertical="center"/>
    </xf>
    <xf numFmtId="182" fontId="9" fillId="12" borderId="3" xfId="0" applyNumberFormat="1" applyFont="1" applyFill="1" applyBorder="1" applyAlignment="1">
      <alignment horizontal="center" vertical="center"/>
    </xf>
    <xf numFmtId="0" fontId="10" fillId="11" borderId="42" xfId="0" applyFont="1" applyFill="1" applyBorder="1" applyAlignment="1">
      <alignment horizontal="center" vertical="center"/>
    </xf>
    <xf numFmtId="14" fontId="18" fillId="12" borderId="3" xfId="0" applyNumberFormat="1" applyFont="1" applyFill="1" applyBorder="1" applyAlignment="1">
      <alignment horizontal="center" vertical="center"/>
    </xf>
    <xf numFmtId="0" fontId="18" fillId="12" borderId="24" xfId="0" applyFont="1" applyFill="1" applyBorder="1" applyAlignment="1">
      <alignment horizontal="center" vertical="center"/>
    </xf>
    <xf numFmtId="0" fontId="9" fillId="12" borderId="25" xfId="0" applyFont="1" applyFill="1" applyBorder="1" applyAlignment="1">
      <alignment horizontal="center" vertical="center"/>
    </xf>
    <xf numFmtId="0" fontId="9" fillId="12" borderId="19" xfId="0" applyFont="1" applyFill="1" applyBorder="1" applyAlignment="1">
      <alignment horizontal="center" vertical="center"/>
    </xf>
    <xf numFmtId="181" fontId="9" fillId="0" borderId="2" xfId="1" applyNumberFormat="1" applyFont="1" applyBorder="1" applyAlignment="1">
      <alignment horizontal="center" vertical="center"/>
    </xf>
    <xf numFmtId="181" fontId="9" fillId="0" borderId="54" xfId="1" applyNumberFormat="1" applyFont="1" applyBorder="1" applyAlignment="1">
      <alignment horizontal="center" vertical="center"/>
    </xf>
    <xf numFmtId="181" fontId="9" fillId="0" borderId="12" xfId="1" applyNumberFormat="1" applyFont="1" applyBorder="1" applyAlignment="1">
      <alignment horizontal="center" vertical="center"/>
    </xf>
    <xf numFmtId="176" fontId="9" fillId="0" borderId="37" xfId="2" applyNumberFormat="1" applyFont="1" applyBorder="1" applyAlignment="1">
      <alignment horizontal="center" vertical="center"/>
    </xf>
    <xf numFmtId="177" fontId="9" fillId="12" borderId="42" xfId="0" applyNumberFormat="1" applyFont="1" applyFill="1" applyBorder="1" applyAlignment="1">
      <alignment horizontal="center" vertical="center"/>
    </xf>
    <xf numFmtId="14" fontId="9" fillId="0" borderId="54" xfId="0" applyNumberFormat="1" applyFont="1" applyBorder="1" applyAlignment="1">
      <alignment horizontal="center" vertical="center"/>
    </xf>
    <xf numFmtId="176" fontId="9" fillId="0" borderId="12" xfId="0" applyNumberFormat="1" applyFont="1" applyBorder="1" applyAlignment="1">
      <alignment horizontal="center" vertical="center"/>
    </xf>
    <xf numFmtId="176" fontId="8" fillId="12" borderId="46" xfId="2" applyNumberFormat="1" applyFont="1" applyFill="1" applyBorder="1" applyAlignment="1">
      <alignment horizontal="center" vertical="center"/>
    </xf>
    <xf numFmtId="176" fontId="8" fillId="12" borderId="47" xfId="2" applyNumberFormat="1" applyFont="1" applyFill="1" applyBorder="1" applyAlignment="1">
      <alignment horizontal="center" vertical="center"/>
    </xf>
    <xf numFmtId="176" fontId="8" fillId="12" borderId="52" xfId="2" applyNumberFormat="1" applyFont="1" applyFill="1" applyBorder="1" applyAlignment="1">
      <alignment horizontal="center" vertical="center"/>
    </xf>
    <xf numFmtId="0" fontId="9" fillId="12" borderId="48" xfId="0" applyFont="1" applyFill="1" applyBorder="1" applyAlignment="1">
      <alignment horizontal="center" vertical="center"/>
    </xf>
    <xf numFmtId="176" fontId="10" fillId="11" borderId="49" xfId="0" applyNumberFormat="1" applyFont="1" applyFill="1" applyBorder="1" applyAlignment="1">
      <alignment horizontal="center" vertical="center"/>
    </xf>
    <xf numFmtId="0" fontId="11" fillId="12" borderId="15" xfId="0" applyFont="1" applyFill="1" applyBorder="1" applyAlignment="1">
      <alignment horizontal="center" vertical="center"/>
    </xf>
    <xf numFmtId="0" fontId="18" fillId="0" borderId="11" xfId="0" applyFont="1" applyBorder="1" applyAlignment="1">
      <alignment horizontal="center" vertical="center"/>
    </xf>
    <xf numFmtId="0" fontId="18" fillId="0" borderId="2" xfId="1" applyNumberFormat="1" applyFont="1" applyBorder="1" applyAlignment="1">
      <alignment horizontal="center" vertical="center"/>
    </xf>
    <xf numFmtId="0" fontId="0" fillId="0" borderId="0" xfId="0" applyAlignment="1">
      <alignment horizontal="center" vertical="center"/>
    </xf>
    <xf numFmtId="176" fontId="0" fillId="0" borderId="0" xfId="0" applyNumberFormat="1">
      <alignment vertical="center"/>
    </xf>
    <xf numFmtId="176" fontId="0" fillId="0" borderId="0" xfId="0" applyNumberFormat="1" applyAlignment="1">
      <alignment horizontal="center" vertical="center"/>
    </xf>
    <xf numFmtId="0" fontId="3" fillId="0" borderId="64" xfId="0" applyFont="1" applyBorder="1" applyAlignment="1">
      <alignment horizontal="center" vertical="center"/>
    </xf>
    <xf numFmtId="176" fontId="3" fillId="0" borderId="64" xfId="0" applyNumberFormat="1" applyFont="1" applyBorder="1" applyAlignment="1">
      <alignment horizontal="center" vertical="center"/>
    </xf>
    <xf numFmtId="0" fontId="3" fillId="10" borderId="64" xfId="0" applyFont="1" applyFill="1" applyBorder="1" applyAlignment="1">
      <alignment horizontal="center" vertical="center"/>
    </xf>
    <xf numFmtId="0" fontId="3" fillId="10" borderId="64" xfId="0" applyFont="1" applyFill="1" applyBorder="1" applyAlignment="1">
      <alignment horizontal="center" vertical="center" wrapText="1"/>
    </xf>
    <xf numFmtId="0" fontId="3" fillId="12" borderId="64" xfId="0" applyFont="1" applyFill="1" applyBorder="1" applyAlignment="1">
      <alignment horizontal="center" vertical="center"/>
    </xf>
    <xf numFmtId="176" fontId="9" fillId="0" borderId="37" xfId="0" applyNumberFormat="1" applyFont="1" applyBorder="1" applyAlignment="1">
      <alignment horizontal="center" vertical="center"/>
    </xf>
    <xf numFmtId="0" fontId="3" fillId="10" borderId="65" xfId="0" applyFont="1" applyFill="1" applyBorder="1" applyAlignment="1">
      <alignment horizontal="center" vertical="center" wrapText="1"/>
    </xf>
    <xf numFmtId="176" fontId="3" fillId="0" borderId="65" xfId="0" applyNumberFormat="1" applyFont="1" applyBorder="1" applyAlignment="1">
      <alignment horizontal="center" vertical="center"/>
    </xf>
    <xf numFmtId="0" fontId="3" fillId="0" borderId="65" xfId="0" applyFont="1" applyBorder="1" applyAlignment="1">
      <alignment horizontal="center" vertical="center"/>
    </xf>
    <xf numFmtId="0" fontId="3" fillId="0" borderId="64" xfId="0" quotePrefix="1" applyFont="1" applyBorder="1">
      <alignment vertical="center"/>
    </xf>
    <xf numFmtId="0" fontId="3" fillId="0" borderId="64" xfId="0" quotePrefix="1" applyFont="1" applyBorder="1" applyAlignment="1">
      <alignment horizontal="left" vertical="center"/>
    </xf>
    <xf numFmtId="0" fontId="3" fillId="0" borderId="64" xfId="0" applyFont="1" applyBorder="1" applyAlignment="1">
      <alignment horizontal="left" vertical="center"/>
    </xf>
    <xf numFmtId="14" fontId="9" fillId="0" borderId="31" xfId="0" applyNumberFormat="1" applyFont="1" applyBorder="1" applyAlignment="1">
      <alignment horizontal="center" vertical="center"/>
    </xf>
    <xf numFmtId="176" fontId="9" fillId="0" borderId="31" xfId="0" applyNumberFormat="1" applyFont="1" applyBorder="1" applyAlignment="1">
      <alignment horizontal="center" vertical="center"/>
    </xf>
    <xf numFmtId="14" fontId="9" fillId="0" borderId="28" xfId="0" applyNumberFormat="1" applyFont="1" applyBorder="1" applyAlignment="1">
      <alignment horizontal="center" vertical="center"/>
    </xf>
    <xf numFmtId="176" fontId="9" fillId="0" borderId="28" xfId="0" applyNumberFormat="1" applyFont="1" applyBorder="1" applyAlignment="1">
      <alignment horizontal="center" vertical="center"/>
    </xf>
    <xf numFmtId="41" fontId="8" fillId="12" borderId="47" xfId="1" applyFont="1" applyFill="1" applyBorder="1" applyAlignment="1">
      <alignment horizontal="center" vertical="center"/>
    </xf>
    <xf numFmtId="14" fontId="11" fillId="12" borderId="66" xfId="0" applyNumberFormat="1" applyFont="1" applyFill="1" applyBorder="1" applyAlignment="1">
      <alignment horizontal="center" vertical="center"/>
    </xf>
    <xf numFmtId="0" fontId="9" fillId="12" borderId="67" xfId="0" applyFont="1" applyFill="1" applyBorder="1" applyAlignment="1">
      <alignment horizontal="center" vertical="center"/>
    </xf>
    <xf numFmtId="182" fontId="9" fillId="12" borderId="66" xfId="0" applyNumberFormat="1" applyFont="1" applyFill="1" applyBorder="1" applyAlignment="1">
      <alignment horizontal="center" vertical="center"/>
    </xf>
    <xf numFmtId="0" fontId="9" fillId="12" borderId="4" xfId="0" applyFont="1" applyFill="1" applyBorder="1" applyAlignment="1">
      <alignment horizontal="center" vertical="center"/>
    </xf>
    <xf numFmtId="182" fontId="9" fillId="12" borderId="1" xfId="0" applyNumberFormat="1" applyFont="1" applyFill="1" applyBorder="1" applyAlignment="1">
      <alignment horizontal="center" vertical="center"/>
    </xf>
    <xf numFmtId="14" fontId="11" fillId="12" borderId="14" xfId="0" applyNumberFormat="1" applyFont="1" applyFill="1" applyBorder="1" applyAlignment="1">
      <alignment horizontal="center" vertical="center"/>
    </xf>
    <xf numFmtId="177" fontId="19" fillId="12" borderId="3" xfId="0" applyNumberFormat="1" applyFont="1" applyFill="1" applyBorder="1" applyAlignment="1">
      <alignment horizontal="center" vertical="center"/>
    </xf>
    <xf numFmtId="14" fontId="11" fillId="12" borderId="1" xfId="0" applyNumberFormat="1" applyFont="1" applyFill="1" applyBorder="1" applyAlignment="1">
      <alignment horizontal="center" vertical="center"/>
    </xf>
    <xf numFmtId="0" fontId="9" fillId="0" borderId="33" xfId="0" quotePrefix="1" applyFont="1" applyBorder="1" applyAlignment="1">
      <alignment horizontal="left" vertical="center" wrapText="1"/>
    </xf>
    <xf numFmtId="0" fontId="9" fillId="0" borderId="34" xfId="0" applyFont="1" applyBorder="1" applyAlignment="1">
      <alignment horizontal="left" vertical="center"/>
    </xf>
    <xf numFmtId="0" fontId="9" fillId="0" borderId="38" xfId="0" applyFont="1" applyBorder="1" applyAlignment="1">
      <alignment horizontal="left" vertical="center"/>
    </xf>
    <xf numFmtId="0" fontId="9" fillId="0" borderId="39" xfId="0" applyFont="1" applyBorder="1" applyAlignment="1">
      <alignment horizontal="left" vertical="center"/>
    </xf>
    <xf numFmtId="0" fontId="9" fillId="0" borderId="35" xfId="0" quotePrefix="1" applyFont="1" applyBorder="1" applyAlignment="1">
      <alignment horizontal="left" vertical="center" wrapText="1"/>
    </xf>
    <xf numFmtId="0" fontId="9" fillId="0" borderId="36" xfId="0" applyFont="1" applyBorder="1" applyAlignment="1">
      <alignment horizontal="left" vertical="center"/>
    </xf>
    <xf numFmtId="0" fontId="9" fillId="0" borderId="20" xfId="0" applyFont="1" applyBorder="1" applyAlignment="1">
      <alignment horizontal="left" vertical="center"/>
    </xf>
    <xf numFmtId="0" fontId="9" fillId="0" borderId="40" xfId="0" applyFont="1" applyBorder="1" applyAlignment="1">
      <alignment horizontal="left" vertical="center"/>
    </xf>
    <xf numFmtId="0" fontId="9" fillId="0" borderId="31" xfId="0" applyFont="1" applyBorder="1" applyAlignment="1">
      <alignment horizontal="center" vertical="center" wrapText="1"/>
    </xf>
    <xf numFmtId="0" fontId="9" fillId="0" borderId="19" xfId="0" applyFont="1" applyBorder="1" applyAlignment="1">
      <alignment horizontal="center" vertical="center" wrapText="1"/>
    </xf>
    <xf numFmtId="176" fontId="9" fillId="0" borderId="31" xfId="0" applyNumberFormat="1" applyFont="1" applyBorder="1" applyAlignment="1">
      <alignment horizontal="center" vertical="center"/>
    </xf>
    <xf numFmtId="176" fontId="9" fillId="0" borderId="19" xfId="0" applyNumberFormat="1" applyFont="1" applyBorder="1" applyAlignment="1">
      <alignment horizontal="center" vertical="center"/>
    </xf>
    <xf numFmtId="178" fontId="9" fillId="0" borderId="31" xfId="1" applyNumberFormat="1" applyFont="1" applyBorder="1" applyAlignment="1">
      <alignment horizontal="center" vertical="center"/>
    </xf>
    <xf numFmtId="178" fontId="9" fillId="0" borderId="19" xfId="1" applyNumberFormat="1" applyFont="1" applyBorder="1" applyAlignment="1">
      <alignment horizontal="center" vertical="center"/>
    </xf>
    <xf numFmtId="0" fontId="9" fillId="0" borderId="30" xfId="0" applyFont="1" applyBorder="1" applyAlignment="1">
      <alignment horizontal="center" vertical="center"/>
    </xf>
    <xf numFmtId="0" fontId="9" fillId="0" borderId="18" xfId="0" applyFont="1" applyBorder="1" applyAlignment="1">
      <alignment horizontal="center" vertical="center"/>
    </xf>
    <xf numFmtId="0" fontId="9" fillId="0" borderId="31" xfId="0" applyFont="1" applyBorder="1" applyAlignment="1">
      <alignment horizontal="center" vertical="center"/>
    </xf>
    <xf numFmtId="0" fontId="9" fillId="0" borderId="19" xfId="0" applyFont="1" applyBorder="1" applyAlignment="1">
      <alignment horizontal="center" vertical="center"/>
    </xf>
    <xf numFmtId="14" fontId="9" fillId="0" borderId="30" xfId="0" applyNumberFormat="1" applyFont="1" applyBorder="1" applyAlignment="1">
      <alignment horizontal="center" vertical="center"/>
    </xf>
    <xf numFmtId="14" fontId="9" fillId="0" borderId="31" xfId="0" applyNumberFormat="1" applyFont="1" applyBorder="1" applyAlignment="1">
      <alignment horizontal="center" vertical="center"/>
    </xf>
    <xf numFmtId="14" fontId="9" fillId="0" borderId="19" xfId="0" applyNumberFormat="1" applyFont="1" applyBorder="1" applyAlignment="1">
      <alignment horizontal="center" vertical="center"/>
    </xf>
    <xf numFmtId="0" fontId="9" fillId="0" borderId="32"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18" xfId="0" applyFont="1" applyBorder="1" applyAlignment="1">
      <alignment horizontal="center" vertical="center" wrapText="1"/>
    </xf>
    <xf numFmtId="176" fontId="9" fillId="0" borderId="31" xfId="2" applyNumberFormat="1" applyFont="1" applyBorder="1" applyAlignment="1">
      <alignment horizontal="center" vertical="center"/>
    </xf>
    <xf numFmtId="176" fontId="9" fillId="0" borderId="19" xfId="2" applyNumberFormat="1" applyFont="1" applyBorder="1" applyAlignment="1">
      <alignment horizontal="center" vertical="center"/>
    </xf>
    <xf numFmtId="177" fontId="9" fillId="0" borderId="32" xfId="0" applyNumberFormat="1" applyFont="1" applyBorder="1" applyAlignment="1">
      <alignment horizontal="center" vertical="center"/>
    </xf>
    <xf numFmtId="177" fontId="9" fillId="0" borderId="24" xfId="0" applyNumberFormat="1" applyFont="1" applyBorder="1" applyAlignment="1">
      <alignment horizontal="center" vertical="center"/>
    </xf>
    <xf numFmtId="177" fontId="9" fillId="0" borderId="29" xfId="0" applyNumberFormat="1" applyFont="1" applyBorder="1" applyAlignment="1">
      <alignment horizontal="center" vertical="center"/>
    </xf>
    <xf numFmtId="0" fontId="9" fillId="0" borderId="43" xfId="0" quotePrefix="1" applyFont="1" applyBorder="1" applyAlignment="1">
      <alignment horizontal="left" vertical="center" wrapText="1"/>
    </xf>
    <xf numFmtId="0" fontId="9" fillId="0" borderId="44" xfId="0" applyFont="1" applyBorder="1" applyAlignment="1">
      <alignment horizontal="left" vertical="center"/>
    </xf>
    <xf numFmtId="0" fontId="9" fillId="0" borderId="36" xfId="0" applyFont="1" applyBorder="1" applyAlignment="1">
      <alignment horizontal="left" vertical="center" wrapText="1"/>
    </xf>
    <xf numFmtId="0" fontId="9" fillId="0" borderId="20" xfId="0" applyFont="1" applyBorder="1" applyAlignment="1">
      <alignment horizontal="left" vertical="center" wrapText="1"/>
    </xf>
    <xf numFmtId="0" fontId="9" fillId="0" borderId="40" xfId="0" applyFont="1" applyBorder="1" applyAlignment="1">
      <alignment horizontal="left" vertical="center" wrapText="1"/>
    </xf>
    <xf numFmtId="0" fontId="9" fillId="0" borderId="27" xfId="0" applyFont="1" applyBorder="1" applyAlignment="1">
      <alignment horizontal="center" vertical="center" wrapText="1"/>
    </xf>
    <xf numFmtId="176" fontId="9" fillId="0" borderId="28" xfId="2" applyNumberFormat="1" applyFont="1" applyBorder="1" applyAlignment="1">
      <alignment horizontal="center" vertical="center"/>
    </xf>
    <xf numFmtId="0" fontId="9" fillId="0" borderId="28" xfId="0" applyFont="1" applyBorder="1" applyAlignment="1">
      <alignment horizontal="center" vertical="center"/>
    </xf>
    <xf numFmtId="180" fontId="9" fillId="0" borderId="30" xfId="0" applyNumberFormat="1" applyFont="1" applyBorder="1" applyAlignment="1">
      <alignment horizontal="center" vertical="center"/>
    </xf>
    <xf numFmtId="180" fontId="9" fillId="0" borderId="18" xfId="0" applyNumberFormat="1" applyFont="1" applyBorder="1" applyAlignment="1">
      <alignment horizontal="center" vertical="center"/>
    </xf>
    <xf numFmtId="14" fontId="9" fillId="0" borderId="34" xfId="0" applyNumberFormat="1" applyFont="1" applyBorder="1" applyAlignment="1">
      <alignment horizontal="center" vertical="center"/>
    </xf>
    <xf numFmtId="0" fontId="9" fillId="0" borderId="39" xfId="0" applyFont="1" applyBorder="1" applyAlignment="1">
      <alignment horizontal="center" vertical="center"/>
    </xf>
    <xf numFmtId="0" fontId="9" fillId="0" borderId="33" xfId="0" quotePrefix="1" applyFont="1" applyBorder="1" applyAlignment="1">
      <alignment horizontal="left" vertical="center"/>
    </xf>
    <xf numFmtId="0" fontId="9" fillId="0" borderId="35" xfId="0" applyFont="1" applyBorder="1" applyAlignment="1">
      <alignment horizontal="center" vertical="center"/>
    </xf>
    <xf numFmtId="0" fontId="9" fillId="0" borderId="36" xfId="0" applyFont="1" applyBorder="1" applyAlignment="1">
      <alignment horizontal="center" vertical="center"/>
    </xf>
    <xf numFmtId="0" fontId="9" fillId="0" borderId="20" xfId="0" applyFont="1" applyBorder="1" applyAlignment="1">
      <alignment horizontal="center" vertical="center"/>
    </xf>
    <xf numFmtId="0" fontId="9" fillId="0" borderId="40" xfId="0" applyFont="1" applyBorder="1" applyAlignment="1">
      <alignment horizontal="center" vertical="center"/>
    </xf>
    <xf numFmtId="176" fontId="9" fillId="0" borderId="32" xfId="0" applyNumberFormat="1" applyFont="1" applyBorder="1" applyAlignment="1">
      <alignment horizontal="center" vertical="center"/>
    </xf>
    <xf numFmtId="176" fontId="9" fillId="0" borderId="24" xfId="0" applyNumberFormat="1" applyFont="1" applyBorder="1" applyAlignment="1">
      <alignment horizontal="center" vertical="center"/>
    </xf>
    <xf numFmtId="181" fontId="9" fillId="0" borderId="31" xfId="1" applyNumberFormat="1" applyFont="1" applyBorder="1" applyAlignment="1">
      <alignment horizontal="center" vertical="center"/>
    </xf>
    <xf numFmtId="181" fontId="9" fillId="0" borderId="19" xfId="1" applyNumberFormat="1" applyFont="1" applyBorder="1" applyAlignment="1">
      <alignment horizontal="center" vertical="center"/>
    </xf>
    <xf numFmtId="14" fontId="9" fillId="0" borderId="28" xfId="0" applyNumberFormat="1" applyFont="1" applyBorder="1" applyAlignment="1">
      <alignment horizontal="center" vertical="center"/>
    </xf>
    <xf numFmtId="0" fontId="9" fillId="0" borderId="27" xfId="0" applyFont="1" applyBorder="1" applyAlignment="1">
      <alignment horizontal="center" vertical="center"/>
    </xf>
    <xf numFmtId="0" fontId="9" fillId="0" borderId="29" xfId="0" applyFont="1" applyBorder="1" applyAlignment="1">
      <alignment horizontal="center" vertical="center" wrapText="1"/>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3" fillId="0" borderId="20" xfId="0" applyFont="1" applyBorder="1" applyAlignment="1">
      <alignment horizontal="center" vertical="center"/>
    </xf>
    <xf numFmtId="0" fontId="3" fillId="0" borderId="40" xfId="0" applyFont="1" applyBorder="1" applyAlignment="1">
      <alignment horizontal="center" vertical="center"/>
    </xf>
    <xf numFmtId="0" fontId="9" fillId="0" borderId="33" xfId="0" quotePrefix="1" applyFont="1" applyBorder="1" applyAlignment="1">
      <alignment vertical="center" wrapText="1"/>
    </xf>
    <xf numFmtId="0" fontId="9" fillId="0" borderId="34" xfId="0" applyFont="1" applyBorder="1">
      <alignment vertical="center"/>
    </xf>
    <xf numFmtId="0" fontId="9" fillId="0" borderId="38" xfId="0" applyFont="1" applyBorder="1">
      <alignment vertical="center"/>
    </xf>
    <xf numFmtId="0" fontId="9" fillId="0" borderId="39" xfId="0" applyFont="1" applyBorder="1">
      <alignment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176" fontId="9" fillId="0" borderId="28" xfId="0" applyNumberFormat="1" applyFont="1" applyBorder="1" applyAlignment="1">
      <alignment horizontal="center" vertical="center"/>
    </xf>
    <xf numFmtId="14" fontId="9" fillId="0" borderId="27" xfId="0" applyNumberFormat="1" applyFont="1" applyBorder="1" applyAlignment="1">
      <alignment horizontal="center" vertical="center"/>
    </xf>
    <xf numFmtId="14" fontId="9" fillId="0" borderId="39" xfId="0" applyNumberFormat="1" applyFont="1" applyBorder="1" applyAlignment="1">
      <alignment horizontal="center" vertical="center"/>
    </xf>
    <xf numFmtId="178" fontId="9" fillId="0" borderId="31" xfId="0" applyNumberFormat="1" applyFont="1" applyBorder="1" applyAlignment="1">
      <alignment horizontal="center" vertical="center"/>
    </xf>
    <xf numFmtId="178" fontId="9" fillId="0" borderId="19" xfId="0" applyNumberFormat="1" applyFont="1" applyBorder="1" applyAlignment="1">
      <alignment horizontal="center" vertical="center"/>
    </xf>
    <xf numFmtId="0" fontId="9" fillId="0" borderId="28" xfId="0" applyFont="1" applyBorder="1" applyAlignment="1">
      <alignment horizontal="center" vertical="center" wrapText="1"/>
    </xf>
    <xf numFmtId="0" fontId="9" fillId="0" borderId="34" xfId="0" applyFont="1" applyBorder="1" applyAlignment="1">
      <alignment horizontal="center" vertical="center"/>
    </xf>
    <xf numFmtId="0" fontId="9" fillId="0" borderId="32" xfId="0" applyFont="1" applyBorder="1" applyAlignment="1">
      <alignment horizontal="center" vertical="center"/>
    </xf>
    <xf numFmtId="0" fontId="9" fillId="0" borderId="24" xfId="0" applyFont="1" applyBorder="1" applyAlignment="1">
      <alignment horizontal="center" vertical="center"/>
    </xf>
    <xf numFmtId="0" fontId="9" fillId="0" borderId="43" xfId="0" applyFont="1" applyBorder="1" applyAlignment="1">
      <alignment horizontal="center" vertical="center"/>
    </xf>
    <xf numFmtId="0" fontId="9" fillId="0" borderId="44" xfId="0" applyFont="1" applyBorder="1" applyAlignment="1">
      <alignment horizontal="center" vertical="center"/>
    </xf>
    <xf numFmtId="0" fontId="9" fillId="0" borderId="38" xfId="0" applyFont="1" applyBorder="1" applyAlignment="1">
      <alignment horizontal="center" vertical="center"/>
    </xf>
    <xf numFmtId="0" fontId="9" fillId="0" borderId="41" xfId="0" applyFont="1" applyBorder="1" applyAlignment="1">
      <alignment horizontal="center" vertical="center"/>
    </xf>
    <xf numFmtId="0" fontId="9" fillId="0" borderId="45" xfId="0" applyFont="1" applyBorder="1" applyAlignment="1">
      <alignment horizontal="center" vertical="center"/>
    </xf>
    <xf numFmtId="178" fontId="9" fillId="0" borderId="28" xfId="1" applyNumberFormat="1" applyFont="1" applyBorder="1" applyAlignment="1">
      <alignment horizontal="center" vertical="center"/>
    </xf>
    <xf numFmtId="180" fontId="9" fillId="0" borderId="27" xfId="0" applyNumberFormat="1" applyFont="1" applyBorder="1" applyAlignment="1">
      <alignment horizontal="center" vertical="center"/>
    </xf>
    <xf numFmtId="0" fontId="13" fillId="13" borderId="56" xfId="0" applyFont="1" applyFill="1" applyBorder="1" applyAlignment="1">
      <alignment horizontal="left" vertical="center" wrapText="1"/>
    </xf>
    <xf numFmtId="0" fontId="8" fillId="12" borderId="57" xfId="0" applyFont="1" applyFill="1" applyBorder="1" applyAlignment="1">
      <alignment horizontal="left" vertical="center"/>
    </xf>
    <xf numFmtId="0" fontId="8" fillId="12" borderId="58" xfId="0" applyFont="1" applyFill="1" applyBorder="1" applyAlignment="1">
      <alignment horizontal="left" vertical="center"/>
    </xf>
    <xf numFmtId="0" fontId="8" fillId="12" borderId="59" xfId="0" applyFont="1" applyFill="1" applyBorder="1" applyAlignment="1">
      <alignment horizontal="left" vertical="center"/>
    </xf>
    <xf numFmtId="0" fontId="8" fillId="12" borderId="60" xfId="0" applyFont="1" applyFill="1" applyBorder="1" applyAlignment="1">
      <alignment horizontal="left" vertical="center"/>
    </xf>
    <xf numFmtId="0" fontId="8" fillId="12" borderId="61" xfId="0" applyFont="1" applyFill="1" applyBorder="1" applyAlignment="1">
      <alignment horizontal="left" vertical="center"/>
    </xf>
    <xf numFmtId="0" fontId="8" fillId="12" borderId="62" xfId="0" applyFont="1" applyFill="1" applyBorder="1" applyAlignment="1">
      <alignment horizontal="left" vertical="center"/>
    </xf>
    <xf numFmtId="0" fontId="9" fillId="0" borderId="41" xfId="0" quotePrefix="1" applyFont="1" applyBorder="1" applyAlignment="1">
      <alignment horizontal="left" vertical="center" wrapText="1"/>
    </xf>
    <xf numFmtId="0" fontId="9" fillId="0" borderId="45" xfId="0" applyFont="1" applyBorder="1" applyAlignment="1">
      <alignment horizontal="left" vertical="center"/>
    </xf>
    <xf numFmtId="0" fontId="8" fillId="12" borderId="50" xfId="0" applyFont="1" applyFill="1" applyBorder="1" applyAlignment="1">
      <alignment horizontal="left" vertical="center"/>
    </xf>
    <xf numFmtId="0" fontId="8" fillId="12" borderId="56" xfId="0" applyFont="1" applyFill="1" applyBorder="1" applyAlignment="1">
      <alignment horizontal="left" vertical="center"/>
    </xf>
    <xf numFmtId="0" fontId="8" fillId="12" borderId="53" xfId="0" applyFont="1" applyFill="1" applyBorder="1" applyAlignment="1">
      <alignment horizontal="left" vertical="center"/>
    </xf>
    <xf numFmtId="0" fontId="9" fillId="0" borderId="63" xfId="0" quotePrefix="1" applyFont="1" applyBorder="1" applyAlignment="1">
      <alignment horizontal="left" vertical="center" wrapText="1"/>
    </xf>
    <xf numFmtId="0" fontId="9" fillId="0" borderId="55" xfId="0" applyFont="1" applyBorder="1" applyAlignment="1">
      <alignment horizontal="left" vertical="center"/>
    </xf>
    <xf numFmtId="0" fontId="8" fillId="10" borderId="16" xfId="0" applyFont="1" applyFill="1" applyBorder="1" applyAlignment="1">
      <alignment horizontal="center" vertical="center"/>
    </xf>
    <xf numFmtId="0" fontId="8" fillId="10" borderId="4"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16" xfId="0" applyFont="1" applyFill="1" applyBorder="1" applyAlignment="1">
      <alignment horizontal="center" vertical="center"/>
    </xf>
    <xf numFmtId="0" fontId="8" fillId="6" borderId="8"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7" xfId="0" applyFont="1" applyFill="1" applyBorder="1" applyAlignment="1">
      <alignment horizontal="center" vertical="center"/>
    </xf>
    <xf numFmtId="0" fontId="8" fillId="8" borderId="16" xfId="0" applyFont="1" applyFill="1" applyBorder="1" applyAlignment="1">
      <alignment horizontal="center" vertical="center"/>
    </xf>
    <xf numFmtId="0" fontId="8" fillId="8" borderId="8" xfId="0" applyFont="1" applyFill="1" applyBorder="1" applyAlignment="1">
      <alignment horizontal="center" vertical="center"/>
    </xf>
    <xf numFmtId="0" fontId="8" fillId="10" borderId="17" xfId="0" applyFont="1" applyFill="1" applyBorder="1" applyAlignment="1">
      <alignment horizontal="center" vertical="center"/>
    </xf>
    <xf numFmtId="0" fontId="8" fillId="10" borderId="7" xfId="0" applyFont="1" applyFill="1" applyBorder="1" applyAlignment="1">
      <alignment horizontal="center" vertical="center"/>
    </xf>
    <xf numFmtId="0" fontId="8" fillId="10" borderId="5" xfId="0" applyFont="1" applyFill="1" applyBorder="1" applyAlignment="1">
      <alignment horizontal="center" vertical="center"/>
    </xf>
    <xf numFmtId="0" fontId="8" fillId="10" borderId="1" xfId="0" applyFont="1" applyFill="1" applyBorder="1" applyAlignment="1">
      <alignment horizontal="center" vertical="center"/>
    </xf>
    <xf numFmtId="0" fontId="8" fillId="10" borderId="8" xfId="0" applyFont="1" applyFill="1" applyBorder="1" applyAlignment="1">
      <alignment horizontal="center" vertical="center"/>
    </xf>
    <xf numFmtId="0" fontId="8" fillId="10" borderId="10"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8" fillId="10" borderId="6" xfId="0" applyFont="1" applyFill="1" applyBorder="1" applyAlignment="1">
      <alignment horizontal="center" vertical="center"/>
    </xf>
    <xf numFmtId="0" fontId="8" fillId="10" borderId="9" xfId="0" applyFont="1" applyFill="1" applyBorder="1" applyAlignment="1">
      <alignment horizontal="center" vertical="center"/>
    </xf>
    <xf numFmtId="0" fontId="18" fillId="0" borderId="30" xfId="0" applyFont="1" applyBorder="1" applyAlignment="1">
      <alignment horizontal="center" vertical="center"/>
    </xf>
    <xf numFmtId="0" fontId="18" fillId="0" borderId="27" xfId="0" applyFont="1" applyBorder="1" applyAlignment="1">
      <alignment horizontal="center" vertical="center"/>
    </xf>
    <xf numFmtId="0" fontId="18" fillId="0" borderId="18" xfId="0" applyFont="1" applyBorder="1" applyAlignment="1">
      <alignment horizontal="center" vertical="center"/>
    </xf>
    <xf numFmtId="0" fontId="9" fillId="0" borderId="35" xfId="0" quotePrefix="1" applyFont="1" applyBorder="1" applyAlignment="1">
      <alignment horizontal="left" vertical="center"/>
    </xf>
    <xf numFmtId="0" fontId="9" fillId="0" borderId="34" xfId="0" quotePrefix="1" applyFont="1" applyBorder="1" applyAlignment="1">
      <alignment horizontal="left" vertical="center" wrapText="1"/>
    </xf>
    <xf numFmtId="0" fontId="9" fillId="0" borderId="38" xfId="0" quotePrefix="1" applyFont="1" applyBorder="1" applyAlignment="1">
      <alignment horizontal="left" vertical="center" wrapText="1"/>
    </xf>
    <xf numFmtId="0" fontId="9" fillId="0" borderId="39" xfId="0" quotePrefix="1" applyFont="1" applyBorder="1" applyAlignment="1">
      <alignment horizontal="left" vertical="center" wrapText="1"/>
    </xf>
    <xf numFmtId="0" fontId="9" fillId="0" borderId="46" xfId="0" applyFont="1" applyBorder="1" applyAlignment="1">
      <alignment horizontal="center" vertical="center" wrapText="1"/>
    </xf>
    <xf numFmtId="176" fontId="9" fillId="0" borderId="47" xfId="2" applyNumberFormat="1" applyFont="1" applyBorder="1" applyAlignment="1">
      <alignment horizontal="center" vertical="center"/>
    </xf>
    <xf numFmtId="0" fontId="9" fillId="0" borderId="47" xfId="0" applyFont="1" applyBorder="1" applyAlignment="1">
      <alignment horizontal="center" vertical="center"/>
    </xf>
    <xf numFmtId="178" fontId="9" fillId="0" borderId="47" xfId="0" applyNumberFormat="1" applyFont="1" applyBorder="1" applyAlignment="1">
      <alignment horizontal="center" vertical="center"/>
    </xf>
    <xf numFmtId="0" fontId="9" fillId="0" borderId="46" xfId="0" applyFont="1" applyBorder="1" applyAlignment="1">
      <alignment horizontal="center" vertical="center"/>
    </xf>
    <xf numFmtId="0" fontId="9" fillId="0" borderId="51" xfId="0" applyFont="1" applyBorder="1" applyAlignment="1">
      <alignment horizontal="center" vertical="center"/>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0" fontId="19" fillId="0" borderId="30" xfId="0" applyFont="1" applyBorder="1" applyAlignment="1">
      <alignment horizontal="center" vertical="center"/>
    </xf>
    <xf numFmtId="0" fontId="19" fillId="0" borderId="27" xfId="0" applyFont="1" applyBorder="1" applyAlignment="1">
      <alignment horizontal="center" vertical="center"/>
    </xf>
    <xf numFmtId="0" fontId="19" fillId="0" borderId="18" xfId="0" applyFont="1" applyBorder="1" applyAlignment="1">
      <alignment horizontal="center" vertical="center"/>
    </xf>
    <xf numFmtId="0" fontId="19" fillId="0" borderId="31" xfId="0" applyFont="1" applyBorder="1" applyAlignment="1">
      <alignment horizontal="center" vertical="center"/>
    </xf>
    <xf numFmtId="0" fontId="19" fillId="0" borderId="28" xfId="0" applyFont="1" applyBorder="1" applyAlignment="1">
      <alignment horizontal="center" vertical="center"/>
    </xf>
    <xf numFmtId="0" fontId="19" fillId="0" borderId="19" xfId="0" applyFont="1" applyBorder="1" applyAlignment="1">
      <alignment horizontal="center" vertical="center"/>
    </xf>
    <xf numFmtId="0" fontId="9" fillId="0" borderId="48"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24" xfId="0" applyFont="1" applyBorder="1" applyAlignment="1">
      <alignment horizontal="center" vertical="center" wrapText="1"/>
    </xf>
    <xf numFmtId="0" fontId="9" fillId="0" borderId="33" xfId="0" applyFont="1" applyBorder="1" applyAlignment="1">
      <alignment horizontal="center" vertical="center"/>
    </xf>
    <xf numFmtId="0" fontId="9" fillId="0" borderId="43" xfId="0" quotePrefix="1" applyFont="1" applyBorder="1" applyAlignment="1">
      <alignment horizontal="left" vertical="center"/>
    </xf>
    <xf numFmtId="0" fontId="9" fillId="0" borderId="41" xfId="0" quotePrefix="1" applyFont="1" applyBorder="1" applyAlignment="1">
      <alignment horizontal="left" vertical="center"/>
    </xf>
    <xf numFmtId="177" fontId="9" fillId="0" borderId="48" xfId="0" applyNumberFormat="1" applyFont="1" applyBorder="1" applyAlignment="1">
      <alignment horizontal="center" vertical="center"/>
    </xf>
    <xf numFmtId="0" fontId="9" fillId="0" borderId="50" xfId="0" applyFont="1" applyBorder="1" applyAlignment="1">
      <alignment horizontal="left" vertical="center"/>
    </xf>
    <xf numFmtId="0" fontId="9" fillId="0" borderId="51" xfId="0" applyFont="1" applyBorder="1" applyAlignment="1">
      <alignment horizontal="left" vertical="center"/>
    </xf>
    <xf numFmtId="0" fontId="9" fillId="0" borderId="52" xfId="0" applyFont="1" applyBorder="1" applyAlignment="1">
      <alignment horizontal="left" vertical="center"/>
    </xf>
    <xf numFmtId="0" fontId="9" fillId="0" borderId="53" xfId="0" applyFont="1" applyBorder="1" applyAlignment="1">
      <alignment horizontal="left" vertical="center"/>
    </xf>
    <xf numFmtId="0" fontId="9" fillId="0" borderId="47" xfId="0" applyFont="1" applyBorder="1" applyAlignment="1">
      <alignment horizontal="center" vertical="center" wrapText="1"/>
    </xf>
    <xf numFmtId="176" fontId="9" fillId="0" borderId="47" xfId="0" applyNumberFormat="1" applyFont="1" applyBorder="1" applyAlignment="1">
      <alignment horizontal="center" vertical="center"/>
    </xf>
    <xf numFmtId="178" fontId="9" fillId="0" borderId="47" xfId="1" applyNumberFormat="1" applyFont="1" applyBorder="1" applyAlignment="1">
      <alignment horizontal="center" vertical="center"/>
    </xf>
    <xf numFmtId="180" fontId="9" fillId="0" borderId="46" xfId="0" applyNumberFormat="1" applyFont="1" applyBorder="1" applyAlignment="1">
      <alignment horizontal="center" vertical="center"/>
    </xf>
    <xf numFmtId="14" fontId="9" fillId="0" borderId="47" xfId="0" applyNumberFormat="1" applyFont="1" applyBorder="1" applyAlignment="1">
      <alignment horizontal="center" vertical="center"/>
    </xf>
    <xf numFmtId="10" fontId="3" fillId="0" borderId="0" xfId="2" applyNumberFormat="1" applyFont="1">
      <alignment vertical="center"/>
    </xf>
  </cellXfs>
  <cellStyles count="3">
    <cellStyle name="백분율" xfId="2" builtinId="5"/>
    <cellStyle name="쉼표 [0]" xfId="1" builtinId="6"/>
    <cellStyle name="표준" xfId="0" builtinId="0"/>
  </cellStyles>
  <dxfs count="51">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fgColor theme="0"/>
          <bgColor rgb="FFFF0000"/>
        </patternFill>
      </fill>
    </dxf>
    <dxf>
      <font>
        <b/>
        <i val="0"/>
        <color theme="0"/>
      </font>
      <fill>
        <patternFill>
          <fgColor theme="0"/>
          <bgColor rgb="FFFF0000"/>
        </patternFill>
      </fill>
    </dxf>
    <dxf>
      <font>
        <b/>
        <i val="0"/>
        <color theme="0"/>
      </font>
      <fill>
        <patternFill>
          <fgColor theme="0"/>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29A42-4F60-49E9-8A34-2C34AA55ACDD}">
  <dimension ref="B2:N20"/>
  <sheetViews>
    <sheetView workbookViewId="0">
      <selection activeCell="D8" sqref="D8"/>
    </sheetView>
  </sheetViews>
  <sheetFormatPr defaultRowHeight="16.5" x14ac:dyDescent="0.3"/>
  <cols>
    <col min="6" max="6" width="22" bestFit="1" customWidth="1"/>
    <col min="7" max="7" width="9.5" customWidth="1"/>
    <col min="9" max="9" width="9.625" bestFit="1" customWidth="1"/>
    <col min="10" max="10" width="11" customWidth="1"/>
    <col min="11" max="11" width="14.75" bestFit="1" customWidth="1"/>
    <col min="12" max="12" width="71.875" bestFit="1" customWidth="1"/>
  </cols>
  <sheetData>
    <row r="2" spans="2:14" ht="18.75" x14ac:dyDescent="0.3">
      <c r="C2" s="95" t="s">
        <v>57</v>
      </c>
      <c r="D2" s="95" t="s">
        <v>58</v>
      </c>
      <c r="E2" s="95" t="s">
        <v>119</v>
      </c>
      <c r="F2" s="95" t="s">
        <v>71</v>
      </c>
      <c r="G2" s="95" t="s">
        <v>22</v>
      </c>
      <c r="H2" s="95" t="s">
        <v>215</v>
      </c>
      <c r="I2" s="96">
        <v>0.51900000000000002</v>
      </c>
      <c r="J2" s="96">
        <v>0.7</v>
      </c>
      <c r="K2" s="102" t="s">
        <v>239</v>
      </c>
    </row>
    <row r="4" spans="2:14" ht="37.5" x14ac:dyDescent="0.3">
      <c r="B4" s="97" t="s">
        <v>0</v>
      </c>
      <c r="C4" s="97" t="s">
        <v>52</v>
      </c>
      <c r="D4" s="97" t="s">
        <v>53</v>
      </c>
      <c r="E4" s="97" t="s">
        <v>4</v>
      </c>
      <c r="F4" s="97" t="s">
        <v>163</v>
      </c>
      <c r="G4" s="98" t="s">
        <v>24</v>
      </c>
      <c r="H4" s="98" t="s">
        <v>167</v>
      </c>
      <c r="I4" s="98" t="s">
        <v>160</v>
      </c>
      <c r="J4" s="98" t="s">
        <v>161</v>
      </c>
      <c r="K4" s="101" t="s">
        <v>162</v>
      </c>
      <c r="L4" s="98" t="s">
        <v>29</v>
      </c>
    </row>
    <row r="5" spans="2:14" ht="18.75" x14ac:dyDescent="0.3">
      <c r="B5" s="99">
        <v>1</v>
      </c>
      <c r="C5" s="95" t="s">
        <v>57</v>
      </c>
      <c r="D5" s="95" t="s">
        <v>58</v>
      </c>
      <c r="E5" s="95" t="s">
        <v>114</v>
      </c>
      <c r="F5" s="95" t="s">
        <v>54</v>
      </c>
      <c r="G5" s="95" t="s">
        <v>22</v>
      </c>
      <c r="H5" s="95" t="s">
        <v>215</v>
      </c>
      <c r="I5" s="96">
        <v>0.71199999999999997</v>
      </c>
      <c r="J5" s="96">
        <v>0.85</v>
      </c>
      <c r="K5" s="103" t="s">
        <v>240</v>
      </c>
      <c r="L5" s="104"/>
      <c r="N5" s="92" t="s">
        <v>206</v>
      </c>
    </row>
    <row r="6" spans="2:14" s="92" customFormat="1" ht="18.75" customHeight="1" x14ac:dyDescent="0.3">
      <c r="B6" s="99">
        <v>2</v>
      </c>
      <c r="C6" s="95" t="s">
        <v>57</v>
      </c>
      <c r="D6" s="95" t="s">
        <v>58</v>
      </c>
      <c r="E6" s="95" t="s">
        <v>117</v>
      </c>
      <c r="F6" s="95" t="s">
        <v>54</v>
      </c>
      <c r="G6" s="95" t="s">
        <v>22</v>
      </c>
      <c r="H6" s="95" t="s">
        <v>215</v>
      </c>
      <c r="I6" s="96">
        <v>0.51900000000000002</v>
      </c>
      <c r="J6" s="96">
        <v>0.63200000000000001</v>
      </c>
      <c r="K6" s="103" t="s">
        <v>256</v>
      </c>
      <c r="L6" s="105"/>
      <c r="N6" s="92" t="s">
        <v>206</v>
      </c>
    </row>
    <row r="7" spans="2:14" s="92" customFormat="1" ht="18.75" customHeight="1" x14ac:dyDescent="0.3">
      <c r="B7" s="99">
        <v>3</v>
      </c>
      <c r="C7" s="95" t="s">
        <v>33</v>
      </c>
      <c r="D7" s="95" t="s">
        <v>34</v>
      </c>
      <c r="E7" s="95" t="s">
        <v>150</v>
      </c>
      <c r="F7" s="95" t="s">
        <v>59</v>
      </c>
      <c r="G7" s="95" t="s">
        <v>23</v>
      </c>
      <c r="H7" s="95" t="s">
        <v>176</v>
      </c>
      <c r="I7" s="96">
        <v>0.55500000000000005</v>
      </c>
      <c r="J7" s="96">
        <v>0.625</v>
      </c>
      <c r="K7" s="103" t="s">
        <v>241</v>
      </c>
      <c r="L7" s="105" t="s">
        <v>218</v>
      </c>
      <c r="N7" s="92" t="s">
        <v>209</v>
      </c>
    </row>
    <row r="8" spans="2:14" s="92" customFormat="1" ht="18.75" x14ac:dyDescent="0.3">
      <c r="B8" s="99">
        <v>4</v>
      </c>
      <c r="C8" s="95" t="s">
        <v>57</v>
      </c>
      <c r="D8" s="95" t="s">
        <v>58</v>
      </c>
      <c r="E8" s="95" t="s">
        <v>119</v>
      </c>
      <c r="F8" s="95" t="s">
        <v>71</v>
      </c>
      <c r="G8" s="95" t="s">
        <v>22</v>
      </c>
      <c r="H8" s="95" t="s">
        <v>215</v>
      </c>
      <c r="I8" s="96">
        <v>0.63100000000000001</v>
      </c>
      <c r="J8" s="96">
        <v>0.7</v>
      </c>
      <c r="K8" s="102" t="s">
        <v>257</v>
      </c>
      <c r="L8" s="105"/>
      <c r="N8" s="92" t="s">
        <v>206</v>
      </c>
    </row>
    <row r="9" spans="2:14" s="92" customFormat="1" ht="18.75" x14ac:dyDescent="0.3">
      <c r="B9" s="99">
        <v>5</v>
      </c>
      <c r="C9" s="95" t="s">
        <v>131</v>
      </c>
      <c r="D9" s="95" t="s">
        <v>127</v>
      </c>
      <c r="E9" s="95" t="s">
        <v>129</v>
      </c>
      <c r="F9" s="95" t="s">
        <v>59</v>
      </c>
      <c r="G9" s="95" t="s">
        <v>23</v>
      </c>
      <c r="H9" s="95" t="s">
        <v>198</v>
      </c>
      <c r="I9" s="96">
        <v>0.80600000000000005</v>
      </c>
      <c r="J9" s="96">
        <v>0.85</v>
      </c>
      <c r="K9" s="103" t="s">
        <v>227</v>
      </c>
      <c r="L9" s="105"/>
      <c r="N9" s="92" t="s">
        <v>209</v>
      </c>
    </row>
    <row r="10" spans="2:14" s="92" customFormat="1" x14ac:dyDescent="0.3">
      <c r="I10" s="94"/>
      <c r="J10" s="94"/>
    </row>
    <row r="11" spans="2:14" s="92" customFormat="1" x14ac:dyDescent="0.3">
      <c r="I11" s="94"/>
      <c r="J11" s="94"/>
    </row>
    <row r="12" spans="2:14" s="92" customFormat="1" ht="37.5" x14ac:dyDescent="0.3">
      <c r="B12" s="97" t="s">
        <v>0</v>
      </c>
      <c r="C12" s="97" t="s">
        <v>52</v>
      </c>
      <c r="D12" s="97" t="s">
        <v>53</v>
      </c>
      <c r="E12" s="97" t="s">
        <v>4</v>
      </c>
      <c r="F12" s="97" t="s">
        <v>163</v>
      </c>
      <c r="G12" s="98" t="s">
        <v>168</v>
      </c>
      <c r="H12" s="98" t="s">
        <v>169</v>
      </c>
      <c r="I12" s="98" t="s">
        <v>170</v>
      </c>
      <c r="J12" s="98" t="s">
        <v>171</v>
      </c>
      <c r="K12" s="101" t="s">
        <v>162</v>
      </c>
      <c r="L12" s="98" t="s">
        <v>29</v>
      </c>
    </row>
    <row r="13" spans="2:14" s="92" customFormat="1" ht="18.75" x14ac:dyDescent="0.3">
      <c r="B13" s="99">
        <v>1</v>
      </c>
      <c r="C13" s="95" t="s">
        <v>37</v>
      </c>
      <c r="D13" s="95" t="s">
        <v>38</v>
      </c>
      <c r="E13" s="95" t="s">
        <v>41</v>
      </c>
      <c r="F13" s="95" t="s">
        <v>65</v>
      </c>
      <c r="G13" s="95">
        <v>52</v>
      </c>
      <c r="H13" s="95">
        <v>46</v>
      </c>
      <c r="I13" s="95">
        <v>30</v>
      </c>
      <c r="J13" s="95">
        <v>6</v>
      </c>
      <c r="K13" s="102" t="s">
        <v>172</v>
      </c>
      <c r="L13" s="105"/>
      <c r="N13" s="92" t="s">
        <v>207</v>
      </c>
    </row>
    <row r="14" spans="2:14" s="92" customFormat="1" ht="18.75" x14ac:dyDescent="0.3">
      <c r="B14" s="99">
        <v>2</v>
      </c>
      <c r="C14" s="95" t="s">
        <v>37</v>
      </c>
      <c r="D14" s="95" t="s">
        <v>42</v>
      </c>
      <c r="E14" s="95" t="s">
        <v>43</v>
      </c>
      <c r="F14" s="95" t="s">
        <v>65</v>
      </c>
      <c r="G14" s="95">
        <v>43</v>
      </c>
      <c r="H14" s="95">
        <v>37</v>
      </c>
      <c r="I14" s="95">
        <v>26</v>
      </c>
      <c r="J14" s="95">
        <v>3</v>
      </c>
      <c r="K14" s="102" t="s">
        <v>242</v>
      </c>
      <c r="L14" s="105"/>
      <c r="N14" s="92" t="s">
        <v>207</v>
      </c>
    </row>
    <row r="15" spans="2:14" s="92" customFormat="1" ht="18.75" x14ac:dyDescent="0.3">
      <c r="B15" s="99">
        <v>3</v>
      </c>
      <c r="C15" s="95" t="s">
        <v>68</v>
      </c>
      <c r="D15" s="95" t="s">
        <v>69</v>
      </c>
      <c r="E15" s="95" t="s">
        <v>126</v>
      </c>
      <c r="F15" s="95" t="s">
        <v>65</v>
      </c>
      <c r="G15" s="95">
        <v>27</v>
      </c>
      <c r="H15" s="95">
        <v>27</v>
      </c>
      <c r="I15" s="95">
        <v>12</v>
      </c>
      <c r="J15" s="95">
        <v>4</v>
      </c>
      <c r="K15" s="102" t="s">
        <v>172</v>
      </c>
      <c r="L15" s="105"/>
      <c r="N15" s="92" t="s">
        <v>208</v>
      </c>
    </row>
    <row r="16" spans="2:14" s="92" customFormat="1" ht="18.75" x14ac:dyDescent="0.3">
      <c r="B16" s="99">
        <v>4</v>
      </c>
      <c r="C16" s="95" t="s">
        <v>47</v>
      </c>
      <c r="D16" s="95" t="s">
        <v>67</v>
      </c>
      <c r="E16" s="95" t="s">
        <v>122</v>
      </c>
      <c r="F16" s="95" t="s">
        <v>65</v>
      </c>
      <c r="G16" s="95">
        <v>12</v>
      </c>
      <c r="H16" s="95">
        <v>12</v>
      </c>
      <c r="I16" s="95">
        <v>0</v>
      </c>
      <c r="J16" s="95">
        <v>0</v>
      </c>
      <c r="K16" s="102" t="s">
        <v>183</v>
      </c>
      <c r="L16" s="105" t="s">
        <v>219</v>
      </c>
      <c r="N16" s="92" t="s">
        <v>206</v>
      </c>
    </row>
    <row r="17" spans="2:14" s="92" customFormat="1" ht="18.75" x14ac:dyDescent="0.3">
      <c r="B17" s="99">
        <v>5</v>
      </c>
      <c r="C17" s="95" t="s">
        <v>131</v>
      </c>
      <c r="D17" s="95" t="s">
        <v>132</v>
      </c>
      <c r="E17" s="95" t="s">
        <v>203</v>
      </c>
      <c r="F17" s="95" t="s">
        <v>65</v>
      </c>
      <c r="G17" s="95">
        <v>92</v>
      </c>
      <c r="H17" s="95">
        <v>92</v>
      </c>
      <c r="I17" s="95">
        <v>15</v>
      </c>
      <c r="J17" s="95">
        <v>9</v>
      </c>
      <c r="K17" s="102" t="s">
        <v>205</v>
      </c>
      <c r="L17" s="106"/>
      <c r="N17" s="92" t="s">
        <v>209</v>
      </c>
    </row>
    <row r="18" spans="2:14" s="92" customFormat="1" x14ac:dyDescent="0.3">
      <c r="I18" s="94"/>
      <c r="J18" s="94"/>
    </row>
    <row r="19" spans="2:14" x14ac:dyDescent="0.3">
      <c r="I19" s="93"/>
      <c r="J19" s="93"/>
    </row>
    <row r="20" spans="2:14" x14ac:dyDescent="0.3">
      <c r="I20" s="93"/>
      <c r="J20" s="93"/>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0562-5677-4BBE-BBAE-54EF0A4DC3F7}">
  <sheetPr codeName="Sheet1">
    <pageSetUpPr fitToPage="1"/>
  </sheetPr>
  <dimension ref="B1:AJ114"/>
  <sheetViews>
    <sheetView tabSelected="1" zoomScale="70" zoomScaleNormal="70" workbookViewId="0">
      <pane xSplit="7" ySplit="6" topLeftCell="U7" activePane="bottomRight" state="frozen"/>
      <selection pane="topRight" activeCell="H1" sqref="H1"/>
      <selection pane="bottomLeft" activeCell="A7" sqref="A7"/>
      <selection pane="bottomRight" activeCell="G24" sqref="G24:G27"/>
    </sheetView>
  </sheetViews>
  <sheetFormatPr defaultRowHeight="18.75" outlineLevelRow="1" outlineLevelCol="1" x14ac:dyDescent="0.3"/>
  <cols>
    <col min="1" max="1" width="1.625" style="43" customWidth="1"/>
    <col min="2" max="2" width="9.25" style="43" bestFit="1" customWidth="1"/>
    <col min="3" max="3" width="9" style="43"/>
    <col min="4" max="4" width="11.875" style="43" bestFit="1" customWidth="1"/>
    <col min="5" max="5" width="25.5" style="43" bestFit="1" customWidth="1"/>
    <col min="6" max="6" width="18.625" style="43" bestFit="1" customWidth="1"/>
    <col min="7" max="7" width="9" style="43"/>
    <col min="8" max="8" width="12.375" style="43" customWidth="1"/>
    <col min="9" max="9" width="11.25" style="43" customWidth="1"/>
    <col min="10" max="10" width="18.625" style="43" customWidth="1"/>
    <col min="11" max="11" width="46.875" style="43" customWidth="1"/>
    <col min="12" max="13" width="17" style="43" bestFit="1" customWidth="1"/>
    <col min="14" max="14" width="19.375" style="43" customWidth="1"/>
    <col min="15" max="15" width="20.25" style="43" customWidth="1"/>
    <col min="16" max="16" width="14" style="43" customWidth="1"/>
    <col min="17" max="17" width="13.25" style="43" customWidth="1" outlineLevel="1"/>
    <col min="18" max="18" width="20.625" style="43" customWidth="1" outlineLevel="1"/>
    <col min="19" max="19" width="17.25" style="43" customWidth="1" outlineLevel="1"/>
    <col min="20" max="20" width="23.125" style="43" customWidth="1" outlineLevel="1"/>
    <col min="21" max="21" width="24.25" style="43" customWidth="1" outlineLevel="1"/>
    <col min="22" max="22" width="9.625" style="43" customWidth="1"/>
    <col min="23" max="23" width="12.625" style="43" customWidth="1" outlineLevel="1"/>
    <col min="24" max="24" width="17.75" style="43" customWidth="1" outlineLevel="1"/>
    <col min="25" max="25" width="19.75" style="43" customWidth="1" outlineLevel="1"/>
    <col min="26" max="27" width="16.125" style="43" bestFit="1" customWidth="1"/>
    <col min="28" max="29" width="16.125" style="43" customWidth="1"/>
    <col min="30" max="31" width="23.5" style="43" customWidth="1" outlineLevel="1"/>
    <col min="32" max="32" width="12.125" style="43" bestFit="1" customWidth="1"/>
    <col min="33" max="34" width="50.625" style="43" customWidth="1"/>
    <col min="35" max="36" width="49.625" style="43" customWidth="1"/>
    <col min="37" max="16384" width="9" style="43"/>
  </cols>
  <sheetData>
    <row r="1" spans="2:36" s="42" customFormat="1" ht="45.75" customHeight="1" thickBot="1" x14ac:dyDescent="0.35">
      <c r="B1" s="47" t="s">
        <v>75</v>
      </c>
    </row>
    <row r="2" spans="2:36" s="48" customFormat="1" ht="409.5" hidden="1" customHeight="1" outlineLevel="1" thickBot="1" x14ac:dyDescent="0.35">
      <c r="B2" s="202" t="s">
        <v>85</v>
      </c>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row>
    <row r="3" spans="2:36" s="48" customFormat="1" ht="98.25" hidden="1" customHeight="1" outlineLevel="1" thickBot="1" x14ac:dyDescent="0.35">
      <c r="B3" s="202" t="s">
        <v>86</v>
      </c>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row>
    <row r="4" spans="2:36" s="44" customFormat="1" ht="32.1" customHeight="1" collapsed="1" x14ac:dyDescent="0.3">
      <c r="B4" s="237" t="s">
        <v>0</v>
      </c>
      <c r="C4" s="230" t="s">
        <v>1</v>
      </c>
      <c r="D4" s="230" t="s">
        <v>2</v>
      </c>
      <c r="E4" s="230" t="s">
        <v>9</v>
      </c>
      <c r="F4" s="230" t="s">
        <v>3</v>
      </c>
      <c r="G4" s="216" t="s">
        <v>4</v>
      </c>
      <c r="H4" s="235" t="s">
        <v>26</v>
      </c>
      <c r="I4" s="236"/>
      <c r="J4" s="236"/>
      <c r="K4" s="236"/>
      <c r="L4" s="236"/>
      <c r="M4" s="236"/>
      <c r="N4" s="236"/>
      <c r="O4" s="236"/>
      <c r="P4" s="218" t="s">
        <v>76</v>
      </c>
      <c r="Q4" s="219"/>
      <c r="R4" s="219"/>
      <c r="S4" s="219"/>
      <c r="T4" s="219"/>
      <c r="U4" s="220"/>
      <c r="V4" s="221" t="s">
        <v>77</v>
      </c>
      <c r="W4" s="222"/>
      <c r="X4" s="223"/>
      <c r="Y4" s="224"/>
      <c r="Z4" s="225" t="s">
        <v>78</v>
      </c>
      <c r="AA4" s="226"/>
      <c r="AB4" s="226"/>
      <c r="AC4" s="226"/>
      <c r="AD4" s="226"/>
      <c r="AE4" s="227"/>
      <c r="AF4" s="228"/>
      <c r="AG4" s="229" t="s">
        <v>19</v>
      </c>
      <c r="AH4" s="230"/>
      <c r="AI4" s="230" t="s">
        <v>29</v>
      </c>
      <c r="AJ4" s="233"/>
    </row>
    <row r="5" spans="2:36" s="45" customFormat="1" ht="37.5" customHeight="1" x14ac:dyDescent="0.3">
      <c r="B5" s="238"/>
      <c r="C5" s="232"/>
      <c r="D5" s="232"/>
      <c r="E5" s="232"/>
      <c r="F5" s="232"/>
      <c r="G5" s="217"/>
      <c r="H5" s="1" t="s">
        <v>24</v>
      </c>
      <c r="I5" s="2" t="s">
        <v>5</v>
      </c>
      <c r="J5" s="3" t="s">
        <v>32</v>
      </c>
      <c r="K5" s="2" t="s">
        <v>8</v>
      </c>
      <c r="L5" s="3" t="s">
        <v>18</v>
      </c>
      <c r="M5" s="3" t="s">
        <v>17</v>
      </c>
      <c r="N5" s="3" t="s">
        <v>27</v>
      </c>
      <c r="O5" s="3" t="s">
        <v>28</v>
      </c>
      <c r="P5" s="4" t="s">
        <v>16</v>
      </c>
      <c r="Q5" s="5" t="s">
        <v>15</v>
      </c>
      <c r="R5" s="5" t="s">
        <v>44</v>
      </c>
      <c r="S5" s="5" t="s">
        <v>87</v>
      </c>
      <c r="T5" s="5" t="s">
        <v>88</v>
      </c>
      <c r="U5" s="6" t="s">
        <v>89</v>
      </c>
      <c r="V5" s="7" t="s">
        <v>20</v>
      </c>
      <c r="W5" s="8" t="s">
        <v>21</v>
      </c>
      <c r="X5" s="9" t="s">
        <v>30</v>
      </c>
      <c r="Y5" s="10" t="s">
        <v>31</v>
      </c>
      <c r="Z5" s="11" t="s">
        <v>6</v>
      </c>
      <c r="AA5" s="12" t="s">
        <v>7</v>
      </c>
      <c r="AB5" s="12" t="s">
        <v>91</v>
      </c>
      <c r="AC5" s="12" t="s">
        <v>92</v>
      </c>
      <c r="AD5" s="13" t="s">
        <v>79</v>
      </c>
      <c r="AE5" s="13" t="s">
        <v>80</v>
      </c>
      <c r="AF5" s="14" t="s">
        <v>10</v>
      </c>
      <c r="AG5" s="231"/>
      <c r="AH5" s="232"/>
      <c r="AI5" s="232"/>
      <c r="AJ5" s="234"/>
    </row>
    <row r="6" spans="2:36" s="45" customFormat="1" ht="37.5" customHeight="1" x14ac:dyDescent="0.3">
      <c r="B6" s="203" t="s">
        <v>81</v>
      </c>
      <c r="C6" s="204"/>
      <c r="D6" s="204"/>
      <c r="E6" s="204"/>
      <c r="F6" s="204"/>
      <c r="G6" s="204"/>
      <c r="H6" s="204"/>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5"/>
    </row>
    <row r="7" spans="2:36" s="46" customFormat="1" ht="42.75" customHeight="1" outlineLevel="1" x14ac:dyDescent="0.3">
      <c r="B7" s="134">
        <v>1</v>
      </c>
      <c r="C7" s="136" t="s">
        <v>55</v>
      </c>
      <c r="D7" s="136" t="s">
        <v>11</v>
      </c>
      <c r="E7" s="136" t="s">
        <v>12</v>
      </c>
      <c r="F7" s="136" t="s">
        <v>13</v>
      </c>
      <c r="G7" s="141" t="s">
        <v>173</v>
      </c>
      <c r="H7" s="143" t="s">
        <v>22</v>
      </c>
      <c r="I7" s="145">
        <v>0.85</v>
      </c>
      <c r="J7" s="136">
        <v>14</v>
      </c>
      <c r="K7" s="128" t="s">
        <v>25</v>
      </c>
      <c r="L7" s="130">
        <v>0.495</v>
      </c>
      <c r="M7" s="15">
        <v>0.85099999999999998</v>
      </c>
      <c r="N7" s="15">
        <f>IF((((($I7-$L7)/($AD7-$Z7))*($N8-$Z7))+$L7)&gt;0.85,$I7,((($I7-$L7)/($AD7-$Z7))*($N8-$Z7))+$L7)</f>
        <v>0.85</v>
      </c>
      <c r="O7" s="15">
        <f>M7-N7</f>
        <v>1.0000000000000009E-3</v>
      </c>
      <c r="P7" s="16">
        <v>14</v>
      </c>
      <c r="Q7" s="17" t="s">
        <v>14</v>
      </c>
      <c r="R7" s="18" t="s">
        <v>14</v>
      </c>
      <c r="S7" s="132" t="s">
        <v>14</v>
      </c>
      <c r="T7" s="132">
        <v>222</v>
      </c>
      <c r="U7" s="19">
        <v>214</v>
      </c>
      <c r="V7" s="134" t="s">
        <v>14</v>
      </c>
      <c r="W7" s="136" t="s">
        <v>14</v>
      </c>
      <c r="X7" s="20" t="s">
        <v>14</v>
      </c>
      <c r="Y7" s="21" t="s">
        <v>14</v>
      </c>
      <c r="Z7" s="138">
        <v>44547</v>
      </c>
      <c r="AA7" s="139">
        <v>46361</v>
      </c>
      <c r="AB7" s="57">
        <v>45397</v>
      </c>
      <c r="AC7" s="57">
        <v>45648</v>
      </c>
      <c r="AD7" s="139">
        <v>45915</v>
      </c>
      <c r="AE7" s="139">
        <v>46280</v>
      </c>
      <c r="AF7" s="147">
        <f ca="1">AD7-TODAY()</f>
        <v>-210</v>
      </c>
      <c r="AG7" s="120" t="s">
        <v>244</v>
      </c>
      <c r="AH7" s="121"/>
      <c r="AI7" s="124" t="s">
        <v>243</v>
      </c>
      <c r="AJ7" s="125"/>
    </row>
    <row r="8" spans="2:36" s="46" customFormat="1" ht="24.95" customHeight="1" outlineLevel="1" x14ac:dyDescent="0.3">
      <c r="B8" s="172"/>
      <c r="C8" s="157"/>
      <c r="D8" s="157"/>
      <c r="E8" s="157"/>
      <c r="F8" s="157"/>
      <c r="G8" s="173"/>
      <c r="H8" s="144"/>
      <c r="I8" s="146"/>
      <c r="J8" s="137"/>
      <c r="K8" s="129"/>
      <c r="L8" s="131"/>
      <c r="M8" s="22" t="s">
        <v>215</v>
      </c>
      <c r="N8" s="23">
        <v>46119</v>
      </c>
      <c r="O8" s="24" t="str">
        <f>IF(O7&gt;0,"초과","미달")</f>
        <v>초과</v>
      </c>
      <c r="P8" s="51">
        <f>$P7/$J7</f>
        <v>1</v>
      </c>
      <c r="Q8" s="52" t="s">
        <v>14</v>
      </c>
      <c r="R8" s="52" t="s">
        <v>14</v>
      </c>
      <c r="S8" s="133"/>
      <c r="T8" s="133"/>
      <c r="U8" s="25" t="str">
        <f>IF((T7-U7)&lt;0,(U7-T7)&amp;"㎥"&amp;" "&amp;"미달",(T7-U7)&amp;"㎥"&amp;" "&amp;"초과")</f>
        <v>8㎥ 초과</v>
      </c>
      <c r="V8" s="135"/>
      <c r="W8" s="137"/>
      <c r="X8" s="26" t="s">
        <v>14</v>
      </c>
      <c r="Y8" s="25" t="s">
        <v>14</v>
      </c>
      <c r="Z8" s="135"/>
      <c r="AA8" s="137"/>
      <c r="AB8" s="26" t="s">
        <v>94</v>
      </c>
      <c r="AC8" s="71">
        <f>AC7-AB7</f>
        <v>251</v>
      </c>
      <c r="AD8" s="188"/>
      <c r="AE8" s="137"/>
      <c r="AF8" s="148"/>
      <c r="AG8" s="122"/>
      <c r="AH8" s="123"/>
      <c r="AI8" s="126"/>
      <c r="AJ8" s="127"/>
    </row>
    <row r="9" spans="2:36" s="46" customFormat="1" ht="35.1" customHeight="1" outlineLevel="1" x14ac:dyDescent="0.3">
      <c r="B9" s="172"/>
      <c r="C9" s="157"/>
      <c r="D9" s="157"/>
      <c r="E9" s="157"/>
      <c r="F9" s="157"/>
      <c r="G9" s="173"/>
      <c r="H9" s="155" t="s">
        <v>23</v>
      </c>
      <c r="I9" s="156" t="s">
        <v>14</v>
      </c>
      <c r="J9" s="157" t="s">
        <v>14</v>
      </c>
      <c r="K9" s="157" t="s">
        <v>14</v>
      </c>
      <c r="L9" s="157" t="s">
        <v>14</v>
      </c>
      <c r="M9" s="27" t="s">
        <v>14</v>
      </c>
      <c r="N9" s="28" t="s">
        <v>14</v>
      </c>
      <c r="O9" s="29" t="s">
        <v>14</v>
      </c>
      <c r="P9" s="30" t="s">
        <v>14</v>
      </c>
      <c r="Q9" s="28" t="s">
        <v>14</v>
      </c>
      <c r="R9" s="28" t="s">
        <v>14</v>
      </c>
      <c r="S9" s="189" t="s">
        <v>14</v>
      </c>
      <c r="T9" s="189" t="s">
        <v>14</v>
      </c>
      <c r="U9" s="31" t="s">
        <v>14</v>
      </c>
      <c r="V9" s="134" t="s">
        <v>14</v>
      </c>
      <c r="W9" s="136" t="s">
        <v>14</v>
      </c>
      <c r="X9" s="27" t="s">
        <v>14</v>
      </c>
      <c r="Y9" s="32" t="s">
        <v>14</v>
      </c>
      <c r="Z9" s="134" t="s">
        <v>14</v>
      </c>
      <c r="AA9" s="136" t="s">
        <v>14</v>
      </c>
      <c r="AB9" s="57" t="s">
        <v>93</v>
      </c>
      <c r="AC9" s="57" t="s">
        <v>93</v>
      </c>
      <c r="AD9" s="136" t="s">
        <v>14</v>
      </c>
      <c r="AE9" s="136" t="s">
        <v>14</v>
      </c>
      <c r="AF9" s="193" t="s">
        <v>14</v>
      </c>
      <c r="AG9" s="150" t="s">
        <v>229</v>
      </c>
      <c r="AH9" s="151"/>
      <c r="AI9" s="198"/>
      <c r="AJ9" s="199"/>
    </row>
    <row r="10" spans="2:36" s="46" customFormat="1" ht="24.95" customHeight="1" outlineLevel="1" x14ac:dyDescent="0.3">
      <c r="B10" s="135"/>
      <c r="C10" s="137"/>
      <c r="D10" s="137"/>
      <c r="E10" s="137"/>
      <c r="F10" s="137"/>
      <c r="G10" s="142"/>
      <c r="H10" s="144"/>
      <c r="I10" s="146"/>
      <c r="J10" s="137"/>
      <c r="K10" s="137"/>
      <c r="L10" s="137"/>
      <c r="M10" s="72" t="s">
        <v>14</v>
      </c>
      <c r="N10" s="73" t="s">
        <v>14</v>
      </c>
      <c r="O10" s="74" t="s">
        <v>14</v>
      </c>
      <c r="P10" s="75" t="s">
        <v>14</v>
      </c>
      <c r="Q10" s="58" t="s">
        <v>14</v>
      </c>
      <c r="R10" s="58" t="s">
        <v>14</v>
      </c>
      <c r="S10" s="190"/>
      <c r="T10" s="190"/>
      <c r="U10" s="40" t="s">
        <v>14</v>
      </c>
      <c r="V10" s="135"/>
      <c r="W10" s="137"/>
      <c r="X10" s="41" t="s">
        <v>14</v>
      </c>
      <c r="Y10" s="40" t="s">
        <v>14</v>
      </c>
      <c r="Z10" s="135"/>
      <c r="AA10" s="137"/>
      <c r="AB10" s="76" t="s">
        <v>93</v>
      </c>
      <c r="AC10" s="71" t="str">
        <f>IFERROR(AC9-AB9,"-")</f>
        <v>-</v>
      </c>
      <c r="AD10" s="137"/>
      <c r="AE10" s="137"/>
      <c r="AF10" s="194"/>
      <c r="AG10" s="122"/>
      <c r="AH10" s="123"/>
      <c r="AI10" s="165"/>
      <c r="AJ10" s="166"/>
    </row>
    <row r="11" spans="2:36" s="46" customFormat="1" ht="24.95" customHeight="1" outlineLevel="1" x14ac:dyDescent="0.3">
      <c r="B11" s="134">
        <v>2</v>
      </c>
      <c r="C11" s="136" t="s">
        <v>47</v>
      </c>
      <c r="D11" s="136" t="s">
        <v>56</v>
      </c>
      <c r="E11" s="136" t="s">
        <v>12</v>
      </c>
      <c r="F11" s="136" t="s">
        <v>13</v>
      </c>
      <c r="G11" s="141" t="s">
        <v>107</v>
      </c>
      <c r="H11" s="143" t="s">
        <v>22</v>
      </c>
      <c r="I11" s="145">
        <v>0.85</v>
      </c>
      <c r="J11" s="136">
        <v>2</v>
      </c>
      <c r="K11" s="128" t="s">
        <v>108</v>
      </c>
      <c r="L11" s="130">
        <v>0.40400000000000003</v>
      </c>
      <c r="M11" s="15">
        <v>0.80200000000000005</v>
      </c>
      <c r="N11" s="15">
        <f>IF((((($I11-$L11)/($AD11-$Z11))*($N12-$Z11))+$L11)&gt;0.85,$I11,((($I11-$L11)/($AD11-$Z11))*($N12-$Z11))+$L11)</f>
        <v>0.83930669330669327</v>
      </c>
      <c r="O11" s="15">
        <f>M11-N11</f>
        <v>-3.7306693306693228E-2</v>
      </c>
      <c r="P11" s="16">
        <v>2</v>
      </c>
      <c r="Q11" s="17" t="s">
        <v>14</v>
      </c>
      <c r="R11" s="17">
        <v>1</v>
      </c>
      <c r="S11" s="132">
        <v>190</v>
      </c>
      <c r="T11" s="132">
        <v>70</v>
      </c>
      <c r="U11" s="19">
        <v>73</v>
      </c>
      <c r="V11" s="158">
        <v>37</v>
      </c>
      <c r="W11" s="77">
        <v>68</v>
      </c>
      <c r="X11" s="78">
        <f>($V11/($AA11-$Z11))*($N12-$Z11)</f>
        <v>28.84996009577015</v>
      </c>
      <c r="Y11" s="79">
        <f>IF((W11-X11)&lt;0,(X11-W11),(W11-X11))</f>
        <v>39.15003990422985</v>
      </c>
      <c r="Z11" s="138">
        <v>45142</v>
      </c>
      <c r="AA11" s="139">
        <v>46395</v>
      </c>
      <c r="AB11" s="57" t="s">
        <v>14</v>
      </c>
      <c r="AC11" s="57" t="s">
        <v>14</v>
      </c>
      <c r="AD11" s="139">
        <v>46143</v>
      </c>
      <c r="AE11" s="139">
        <v>46446</v>
      </c>
      <c r="AF11" s="147">
        <f ca="1">AD11-TODAY()</f>
        <v>18</v>
      </c>
      <c r="AG11" s="120" t="s">
        <v>178</v>
      </c>
      <c r="AH11" s="121"/>
      <c r="AI11" s="124" t="s">
        <v>226</v>
      </c>
      <c r="AJ11" s="125"/>
    </row>
    <row r="12" spans="2:36" s="46" customFormat="1" ht="24.95" customHeight="1" outlineLevel="1" x14ac:dyDescent="0.3">
      <c r="B12" s="172"/>
      <c r="C12" s="157"/>
      <c r="D12" s="157"/>
      <c r="E12" s="157"/>
      <c r="F12" s="157"/>
      <c r="G12" s="173"/>
      <c r="H12" s="144"/>
      <c r="I12" s="146"/>
      <c r="J12" s="137"/>
      <c r="K12" s="129"/>
      <c r="L12" s="131"/>
      <c r="M12" s="22" t="s">
        <v>215</v>
      </c>
      <c r="N12" s="23">
        <v>46119</v>
      </c>
      <c r="O12" s="24" t="str">
        <f>IF(O11&gt;0,"초과","미달")</f>
        <v>미달</v>
      </c>
      <c r="P12" s="51">
        <f>$P11/$J11</f>
        <v>1</v>
      </c>
      <c r="Q12" s="52" t="s">
        <v>14</v>
      </c>
      <c r="R12" s="52">
        <f>IF($R11/$J11=0,"-",$R11/$J11)</f>
        <v>0.5</v>
      </c>
      <c r="S12" s="133"/>
      <c r="T12" s="133"/>
      <c r="U12" s="25" t="str">
        <f>IF((T11-U11)&lt;0,(U11-T11)&amp;"㎥"&amp;" "&amp;"미달",(T11-U11)&amp;"㎥"&amp;" "&amp;"초과")</f>
        <v>3㎥ 미달</v>
      </c>
      <c r="V12" s="159"/>
      <c r="W12" s="66">
        <f>$W11/$V11</f>
        <v>1.8378378378378379</v>
      </c>
      <c r="X12" s="66">
        <f>X11/V11</f>
        <v>0.77972865123703106</v>
      </c>
      <c r="Y12" s="25" t="str">
        <f>IF((W11-X11)&lt;0,"미달","초과")</f>
        <v>초과</v>
      </c>
      <c r="Z12" s="135"/>
      <c r="AA12" s="137"/>
      <c r="AB12" s="76" t="s">
        <v>14</v>
      </c>
      <c r="AC12" s="71" t="str">
        <f>IFERROR(AC11-AB11,"-")</f>
        <v>-</v>
      </c>
      <c r="AD12" s="188"/>
      <c r="AE12" s="137"/>
      <c r="AF12" s="148"/>
      <c r="AG12" s="122"/>
      <c r="AH12" s="123"/>
      <c r="AI12" s="126"/>
      <c r="AJ12" s="127"/>
    </row>
    <row r="13" spans="2:36" s="46" customFormat="1" ht="24.95" customHeight="1" outlineLevel="1" x14ac:dyDescent="0.3">
      <c r="B13" s="172"/>
      <c r="C13" s="157"/>
      <c r="D13" s="157"/>
      <c r="E13" s="157"/>
      <c r="F13" s="157"/>
      <c r="G13" s="173"/>
      <c r="H13" s="155" t="s">
        <v>23</v>
      </c>
      <c r="I13" s="156" t="s">
        <v>14</v>
      </c>
      <c r="J13" s="157" t="s">
        <v>14</v>
      </c>
      <c r="K13" s="157" t="s">
        <v>14</v>
      </c>
      <c r="L13" s="157" t="s">
        <v>14</v>
      </c>
      <c r="M13" s="27" t="s">
        <v>14</v>
      </c>
      <c r="N13" s="28" t="s">
        <v>14</v>
      </c>
      <c r="O13" s="29" t="s">
        <v>14</v>
      </c>
      <c r="P13" s="30" t="s">
        <v>14</v>
      </c>
      <c r="Q13" s="28" t="s">
        <v>14</v>
      </c>
      <c r="R13" s="28" t="s">
        <v>14</v>
      </c>
      <c r="S13" s="189" t="s">
        <v>14</v>
      </c>
      <c r="T13" s="189" t="s">
        <v>14</v>
      </c>
      <c r="U13" s="31" t="s">
        <v>14</v>
      </c>
      <c r="V13" s="134" t="s">
        <v>14</v>
      </c>
      <c r="W13" s="136" t="s">
        <v>14</v>
      </c>
      <c r="X13" s="27" t="s">
        <v>14</v>
      </c>
      <c r="Y13" s="32" t="s">
        <v>14</v>
      </c>
      <c r="Z13" s="134" t="s">
        <v>14</v>
      </c>
      <c r="AA13" s="136" t="s">
        <v>14</v>
      </c>
      <c r="AB13" s="62" t="s">
        <v>14</v>
      </c>
      <c r="AC13" s="62" t="s">
        <v>14</v>
      </c>
      <c r="AD13" s="192" t="s">
        <v>14</v>
      </c>
      <c r="AE13" s="136" t="s">
        <v>14</v>
      </c>
      <c r="AF13" s="193" t="s">
        <v>14</v>
      </c>
      <c r="AG13" s="195"/>
      <c r="AH13" s="196"/>
      <c r="AI13" s="198"/>
      <c r="AJ13" s="199"/>
    </row>
    <row r="14" spans="2:36" s="46" customFormat="1" ht="23.25" customHeight="1" outlineLevel="1" x14ac:dyDescent="0.3">
      <c r="B14" s="135"/>
      <c r="C14" s="137"/>
      <c r="D14" s="137"/>
      <c r="E14" s="137"/>
      <c r="F14" s="137"/>
      <c r="G14" s="142"/>
      <c r="H14" s="144"/>
      <c r="I14" s="146"/>
      <c r="J14" s="137"/>
      <c r="K14" s="137"/>
      <c r="L14" s="137"/>
      <c r="M14" s="72" t="s">
        <v>14</v>
      </c>
      <c r="N14" s="73" t="s">
        <v>14</v>
      </c>
      <c r="O14" s="74" t="s">
        <v>14</v>
      </c>
      <c r="P14" s="75" t="s">
        <v>14</v>
      </c>
      <c r="Q14" s="58" t="s">
        <v>14</v>
      </c>
      <c r="R14" s="58" t="s">
        <v>14</v>
      </c>
      <c r="S14" s="190"/>
      <c r="T14" s="190"/>
      <c r="U14" s="40" t="s">
        <v>14</v>
      </c>
      <c r="V14" s="135"/>
      <c r="W14" s="137"/>
      <c r="X14" s="41" t="s">
        <v>14</v>
      </c>
      <c r="Y14" s="40" t="s">
        <v>14</v>
      </c>
      <c r="Z14" s="135"/>
      <c r="AA14" s="137"/>
      <c r="AB14" s="41" t="s">
        <v>14</v>
      </c>
      <c r="AC14" s="58" t="s">
        <v>14</v>
      </c>
      <c r="AD14" s="161"/>
      <c r="AE14" s="137"/>
      <c r="AF14" s="194"/>
      <c r="AG14" s="197"/>
      <c r="AH14" s="161"/>
      <c r="AI14" s="165"/>
      <c r="AJ14" s="166"/>
    </row>
    <row r="15" spans="2:36" s="46" customFormat="1" ht="102.75" customHeight="1" outlineLevel="1" x14ac:dyDescent="0.3">
      <c r="B15" s="134">
        <v>3</v>
      </c>
      <c r="C15" s="136" t="s">
        <v>57</v>
      </c>
      <c r="D15" s="136" t="s">
        <v>58</v>
      </c>
      <c r="E15" s="136" t="s">
        <v>113</v>
      </c>
      <c r="F15" s="136" t="s">
        <v>13</v>
      </c>
      <c r="G15" s="141" t="s">
        <v>114</v>
      </c>
      <c r="H15" s="143" t="s">
        <v>22</v>
      </c>
      <c r="I15" s="145">
        <v>0.85</v>
      </c>
      <c r="J15" s="136">
        <v>10</v>
      </c>
      <c r="K15" s="128" t="s">
        <v>115</v>
      </c>
      <c r="L15" s="130">
        <v>0.47099999999999997</v>
      </c>
      <c r="M15" s="15">
        <v>0.71199999999999997</v>
      </c>
      <c r="N15" s="15">
        <f>IF((((($I15-$L15)/($AD15-$Z15))*($N16-$Z15))+$L15)&gt;0.85,$I15,((($I15-$L15)/($AD15-$Z15))*($N16-$Z15))+$L15)</f>
        <v>0.85</v>
      </c>
      <c r="O15" s="15">
        <f>M15-N15</f>
        <v>-0.13800000000000001</v>
      </c>
      <c r="P15" s="16">
        <v>10</v>
      </c>
      <c r="Q15" s="17" t="s">
        <v>14</v>
      </c>
      <c r="R15" s="18" t="s">
        <v>14</v>
      </c>
      <c r="S15" s="132" t="s">
        <v>14</v>
      </c>
      <c r="T15" s="132" t="s">
        <v>14</v>
      </c>
      <c r="U15" s="19" t="s">
        <v>14</v>
      </c>
      <c r="V15" s="134" t="s">
        <v>14</v>
      </c>
      <c r="W15" s="136" t="s">
        <v>14</v>
      </c>
      <c r="X15" s="20" t="s">
        <v>14</v>
      </c>
      <c r="Y15" s="21" t="s">
        <v>14</v>
      </c>
      <c r="Z15" s="138">
        <v>44550</v>
      </c>
      <c r="AA15" s="139">
        <v>46358</v>
      </c>
      <c r="AB15" s="57" t="s">
        <v>14</v>
      </c>
      <c r="AC15" s="57" t="s">
        <v>14</v>
      </c>
      <c r="AD15" s="139">
        <v>45891</v>
      </c>
      <c r="AE15" s="139">
        <v>46255</v>
      </c>
      <c r="AF15" s="147">
        <f ca="1">AD15-TODAY()</f>
        <v>-234</v>
      </c>
      <c r="AG15" s="120" t="s">
        <v>199</v>
      </c>
      <c r="AH15" s="121"/>
      <c r="AI15" s="124" t="s">
        <v>238</v>
      </c>
      <c r="AJ15" s="125"/>
    </row>
    <row r="16" spans="2:36" s="46" customFormat="1" ht="23.25" customHeight="1" outlineLevel="1" x14ac:dyDescent="0.3">
      <c r="B16" s="172"/>
      <c r="C16" s="157"/>
      <c r="D16" s="157"/>
      <c r="E16" s="157"/>
      <c r="F16" s="157"/>
      <c r="G16" s="173"/>
      <c r="H16" s="144"/>
      <c r="I16" s="146"/>
      <c r="J16" s="137"/>
      <c r="K16" s="129"/>
      <c r="L16" s="131"/>
      <c r="M16" s="22" t="s">
        <v>215</v>
      </c>
      <c r="N16" s="23">
        <v>46119</v>
      </c>
      <c r="O16" s="24" t="str">
        <f>IF(O15&gt;0,"초과","미달")</f>
        <v>미달</v>
      </c>
      <c r="P16" s="51">
        <f>$P15/$J15</f>
        <v>1</v>
      </c>
      <c r="Q16" s="52" t="s">
        <v>14</v>
      </c>
      <c r="R16" s="52" t="s">
        <v>14</v>
      </c>
      <c r="S16" s="133"/>
      <c r="T16" s="133"/>
      <c r="U16" s="25" t="s">
        <v>14</v>
      </c>
      <c r="V16" s="135"/>
      <c r="W16" s="137"/>
      <c r="X16" s="26" t="s">
        <v>14</v>
      </c>
      <c r="Y16" s="25" t="s">
        <v>14</v>
      </c>
      <c r="Z16" s="135"/>
      <c r="AA16" s="137"/>
      <c r="AB16" s="76" t="s">
        <v>14</v>
      </c>
      <c r="AC16" s="71" t="str">
        <f>IFERROR(AC15-AB15,"-")</f>
        <v>-</v>
      </c>
      <c r="AD16" s="188"/>
      <c r="AE16" s="137"/>
      <c r="AF16" s="148"/>
      <c r="AG16" s="122"/>
      <c r="AH16" s="123"/>
      <c r="AI16" s="126"/>
      <c r="AJ16" s="127"/>
    </row>
    <row r="17" spans="2:36" s="46" customFormat="1" ht="23.25" customHeight="1" outlineLevel="1" x14ac:dyDescent="0.3">
      <c r="B17" s="172"/>
      <c r="C17" s="157"/>
      <c r="D17" s="157"/>
      <c r="E17" s="157"/>
      <c r="F17" s="157"/>
      <c r="G17" s="173"/>
      <c r="H17" s="155" t="s">
        <v>23</v>
      </c>
      <c r="I17" s="156" t="s">
        <v>14</v>
      </c>
      <c r="J17" s="157" t="s">
        <v>14</v>
      </c>
      <c r="K17" s="157" t="s">
        <v>14</v>
      </c>
      <c r="L17" s="157" t="s">
        <v>14</v>
      </c>
      <c r="M17" s="27" t="s">
        <v>14</v>
      </c>
      <c r="N17" s="28" t="s">
        <v>14</v>
      </c>
      <c r="O17" s="29" t="s">
        <v>14</v>
      </c>
      <c r="P17" s="30" t="s">
        <v>14</v>
      </c>
      <c r="Q17" s="28" t="s">
        <v>14</v>
      </c>
      <c r="R17" s="28" t="s">
        <v>14</v>
      </c>
      <c r="S17" s="189" t="s">
        <v>14</v>
      </c>
      <c r="T17" s="189" t="s">
        <v>14</v>
      </c>
      <c r="U17" s="31" t="s">
        <v>14</v>
      </c>
      <c r="V17" s="134" t="s">
        <v>14</v>
      </c>
      <c r="W17" s="136" t="s">
        <v>14</v>
      </c>
      <c r="X17" s="27" t="s">
        <v>14</v>
      </c>
      <c r="Y17" s="32" t="s">
        <v>14</v>
      </c>
      <c r="Z17" s="134" t="s">
        <v>14</v>
      </c>
      <c r="AA17" s="136" t="s">
        <v>14</v>
      </c>
      <c r="AB17" s="62" t="s">
        <v>14</v>
      </c>
      <c r="AC17" s="62" t="s">
        <v>14</v>
      </c>
      <c r="AD17" s="192" t="s">
        <v>14</v>
      </c>
      <c r="AE17" s="136" t="s">
        <v>14</v>
      </c>
      <c r="AF17" s="193" t="s">
        <v>14</v>
      </c>
      <c r="AG17" s="195"/>
      <c r="AH17" s="196"/>
      <c r="AI17" s="198"/>
      <c r="AJ17" s="199"/>
    </row>
    <row r="18" spans="2:36" s="46" customFormat="1" ht="23.25" customHeight="1" outlineLevel="1" x14ac:dyDescent="0.3">
      <c r="B18" s="135"/>
      <c r="C18" s="137"/>
      <c r="D18" s="137"/>
      <c r="E18" s="137"/>
      <c r="F18" s="137"/>
      <c r="G18" s="142"/>
      <c r="H18" s="144"/>
      <c r="I18" s="146"/>
      <c r="J18" s="137"/>
      <c r="K18" s="137"/>
      <c r="L18" s="137"/>
      <c r="M18" s="72" t="s">
        <v>14</v>
      </c>
      <c r="N18" s="73" t="s">
        <v>14</v>
      </c>
      <c r="O18" s="74" t="s">
        <v>14</v>
      </c>
      <c r="P18" s="75" t="s">
        <v>14</v>
      </c>
      <c r="Q18" s="58" t="s">
        <v>14</v>
      </c>
      <c r="R18" s="58" t="s">
        <v>14</v>
      </c>
      <c r="S18" s="190"/>
      <c r="T18" s="190"/>
      <c r="U18" s="40" t="s">
        <v>14</v>
      </c>
      <c r="V18" s="135"/>
      <c r="W18" s="137"/>
      <c r="X18" s="41" t="s">
        <v>14</v>
      </c>
      <c r="Y18" s="40" t="s">
        <v>14</v>
      </c>
      <c r="Z18" s="135"/>
      <c r="AA18" s="137"/>
      <c r="AB18" s="41" t="s">
        <v>14</v>
      </c>
      <c r="AC18" s="58" t="s">
        <v>14</v>
      </c>
      <c r="AD18" s="161"/>
      <c r="AE18" s="137"/>
      <c r="AF18" s="194"/>
      <c r="AG18" s="197"/>
      <c r="AH18" s="161"/>
      <c r="AI18" s="165"/>
      <c r="AJ18" s="166"/>
    </row>
    <row r="19" spans="2:36" s="46" customFormat="1" ht="53.25" customHeight="1" outlineLevel="1" x14ac:dyDescent="0.3">
      <c r="B19" s="172">
        <v>4</v>
      </c>
      <c r="C19" s="157" t="s">
        <v>57</v>
      </c>
      <c r="D19" s="157" t="s">
        <v>58</v>
      </c>
      <c r="E19" s="157" t="s">
        <v>116</v>
      </c>
      <c r="F19" s="157" t="s">
        <v>13</v>
      </c>
      <c r="G19" s="173" t="s">
        <v>117</v>
      </c>
      <c r="H19" s="155" t="s">
        <v>22</v>
      </c>
      <c r="I19" s="156">
        <v>0.85</v>
      </c>
      <c r="J19" s="157">
        <v>8</v>
      </c>
      <c r="K19" s="191" t="s">
        <v>115</v>
      </c>
      <c r="L19" s="186">
        <v>0.47099999999999997</v>
      </c>
      <c r="M19" s="49">
        <v>0.51900000000000002</v>
      </c>
      <c r="N19" s="15">
        <f>IF((((($I19-$L19)/($AD19-$Z19))*($N20-$Z19))+$L19)&gt;0.85,$I19,((($I19-$L19)/($AD19-$Z19))*($N20-$Z19))+$L19)</f>
        <v>0.63182195845697331</v>
      </c>
      <c r="O19" s="49">
        <f>M19-N19</f>
        <v>-0.11282195845697329</v>
      </c>
      <c r="P19" s="30">
        <v>8</v>
      </c>
      <c r="Q19" s="50" t="s">
        <v>14</v>
      </c>
      <c r="R19" s="64" t="s">
        <v>14</v>
      </c>
      <c r="S19" s="200" t="s">
        <v>14</v>
      </c>
      <c r="T19" s="200" t="s">
        <v>14</v>
      </c>
      <c r="U19" s="31" t="s">
        <v>14</v>
      </c>
      <c r="V19" s="172" t="s">
        <v>14</v>
      </c>
      <c r="W19" s="157" t="s">
        <v>14</v>
      </c>
      <c r="X19" s="27" t="s">
        <v>14</v>
      </c>
      <c r="Y19" s="32" t="s">
        <v>14</v>
      </c>
      <c r="Z19" s="187">
        <v>45833</v>
      </c>
      <c r="AA19" s="171">
        <v>46911</v>
      </c>
      <c r="AB19" s="57" t="s">
        <v>14</v>
      </c>
      <c r="AC19" s="57" t="s">
        <v>14</v>
      </c>
      <c r="AD19" s="171">
        <v>46507</v>
      </c>
      <c r="AE19" s="171">
        <v>46873</v>
      </c>
      <c r="AF19" s="149">
        <f ca="1">AD19-TODAY()</f>
        <v>382</v>
      </c>
      <c r="AG19" s="150" t="s">
        <v>186</v>
      </c>
      <c r="AH19" s="151"/>
      <c r="AI19" s="209" t="s">
        <v>200</v>
      </c>
      <c r="AJ19" s="210"/>
    </row>
    <row r="20" spans="2:36" s="46" customFormat="1" ht="23.25" customHeight="1" outlineLevel="1" x14ac:dyDescent="0.3">
      <c r="B20" s="172"/>
      <c r="C20" s="157"/>
      <c r="D20" s="157"/>
      <c r="E20" s="157"/>
      <c r="F20" s="157"/>
      <c r="G20" s="173"/>
      <c r="H20" s="144"/>
      <c r="I20" s="146"/>
      <c r="J20" s="137"/>
      <c r="K20" s="129"/>
      <c r="L20" s="131"/>
      <c r="M20" s="22" t="s">
        <v>215</v>
      </c>
      <c r="N20" s="23">
        <v>46119</v>
      </c>
      <c r="O20" s="24" t="str">
        <f>IF(O19&gt;0,"초과","미달")</f>
        <v>미달</v>
      </c>
      <c r="P20" s="51">
        <f>$P19/$J19</f>
        <v>1</v>
      </c>
      <c r="Q20" s="52" t="s">
        <v>14</v>
      </c>
      <c r="R20" s="52" t="s">
        <v>14</v>
      </c>
      <c r="S20" s="133"/>
      <c r="T20" s="133"/>
      <c r="U20" s="25" t="s">
        <v>14</v>
      </c>
      <c r="V20" s="135"/>
      <c r="W20" s="137"/>
      <c r="X20" s="26" t="s">
        <v>14</v>
      </c>
      <c r="Y20" s="25" t="s">
        <v>14</v>
      </c>
      <c r="Z20" s="135"/>
      <c r="AA20" s="137"/>
      <c r="AB20" s="76" t="s">
        <v>14</v>
      </c>
      <c r="AC20" s="71" t="str">
        <f>IFERROR(AC19-AB19,"-")</f>
        <v>-</v>
      </c>
      <c r="AD20" s="188"/>
      <c r="AE20" s="137"/>
      <c r="AF20" s="148"/>
      <c r="AG20" s="122"/>
      <c r="AH20" s="123"/>
      <c r="AI20" s="126"/>
      <c r="AJ20" s="127"/>
    </row>
    <row r="21" spans="2:36" s="46" customFormat="1" ht="23.25" customHeight="1" outlineLevel="1" x14ac:dyDescent="0.3">
      <c r="B21" s="172"/>
      <c r="C21" s="157"/>
      <c r="D21" s="157"/>
      <c r="E21" s="157"/>
      <c r="F21" s="157"/>
      <c r="G21" s="173"/>
      <c r="H21" s="155" t="s">
        <v>23</v>
      </c>
      <c r="I21" s="156" t="s">
        <v>14</v>
      </c>
      <c r="J21" s="157" t="s">
        <v>14</v>
      </c>
      <c r="K21" s="157" t="s">
        <v>14</v>
      </c>
      <c r="L21" s="157" t="s">
        <v>14</v>
      </c>
      <c r="M21" s="27" t="s">
        <v>14</v>
      </c>
      <c r="N21" s="28" t="s">
        <v>14</v>
      </c>
      <c r="O21" s="29" t="s">
        <v>14</v>
      </c>
      <c r="P21" s="30" t="s">
        <v>14</v>
      </c>
      <c r="Q21" s="28" t="s">
        <v>14</v>
      </c>
      <c r="R21" s="28" t="s">
        <v>14</v>
      </c>
      <c r="S21" s="189" t="s">
        <v>14</v>
      </c>
      <c r="T21" s="189" t="s">
        <v>14</v>
      </c>
      <c r="U21" s="31" t="s">
        <v>14</v>
      </c>
      <c r="V21" s="134" t="s">
        <v>14</v>
      </c>
      <c r="W21" s="136" t="s">
        <v>14</v>
      </c>
      <c r="X21" s="27" t="s">
        <v>14</v>
      </c>
      <c r="Y21" s="32" t="s">
        <v>14</v>
      </c>
      <c r="Z21" s="134" t="s">
        <v>14</v>
      </c>
      <c r="AA21" s="136" t="s">
        <v>14</v>
      </c>
      <c r="AB21" s="62" t="s">
        <v>14</v>
      </c>
      <c r="AC21" s="62" t="s">
        <v>14</v>
      </c>
      <c r="AD21" s="192" t="s">
        <v>14</v>
      </c>
      <c r="AE21" s="136" t="s">
        <v>14</v>
      </c>
      <c r="AF21" s="193" t="s">
        <v>14</v>
      </c>
      <c r="AG21" s="195"/>
      <c r="AH21" s="196"/>
      <c r="AI21" s="198"/>
      <c r="AJ21" s="199"/>
    </row>
    <row r="22" spans="2:36" s="46" customFormat="1" ht="23.25" customHeight="1" outlineLevel="1" thickBot="1" x14ac:dyDescent="0.35">
      <c r="B22" s="250"/>
      <c r="C22" s="248"/>
      <c r="D22" s="248"/>
      <c r="E22" s="248"/>
      <c r="F22" s="248"/>
      <c r="G22" s="262"/>
      <c r="H22" s="246"/>
      <c r="I22" s="247"/>
      <c r="J22" s="248"/>
      <c r="K22" s="248"/>
      <c r="L22" s="248"/>
      <c r="M22" s="33" t="s">
        <v>14</v>
      </c>
      <c r="N22" s="53" t="s">
        <v>14</v>
      </c>
      <c r="O22" s="54" t="s">
        <v>14</v>
      </c>
      <c r="P22" s="34" t="s">
        <v>14</v>
      </c>
      <c r="Q22" s="35" t="s">
        <v>14</v>
      </c>
      <c r="R22" s="35" t="s">
        <v>14</v>
      </c>
      <c r="S22" s="249"/>
      <c r="T22" s="249"/>
      <c r="U22" s="36" t="s">
        <v>14</v>
      </c>
      <c r="V22" s="250"/>
      <c r="W22" s="248"/>
      <c r="X22" s="37" t="s">
        <v>14</v>
      </c>
      <c r="Y22" s="36" t="s">
        <v>14</v>
      </c>
      <c r="Z22" s="250"/>
      <c r="AA22" s="248"/>
      <c r="AB22" s="37" t="s">
        <v>14</v>
      </c>
      <c r="AC22" s="35" t="s">
        <v>14</v>
      </c>
      <c r="AD22" s="251"/>
      <c r="AE22" s="248"/>
      <c r="AF22" s="252"/>
      <c r="AG22" s="253"/>
      <c r="AH22" s="251"/>
      <c r="AI22" s="254"/>
      <c r="AJ22" s="255"/>
    </row>
    <row r="23" spans="2:36" s="45" customFormat="1" ht="37.5" customHeight="1" thickBot="1" x14ac:dyDescent="0.35">
      <c r="B23" s="206" t="s">
        <v>82</v>
      </c>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7"/>
      <c r="AH23" s="207"/>
      <c r="AI23" s="207"/>
      <c r="AJ23" s="208"/>
    </row>
    <row r="24" spans="2:36" s="46" customFormat="1" ht="44.25" customHeight="1" outlineLevel="1" x14ac:dyDescent="0.3">
      <c r="B24" s="172">
        <v>1</v>
      </c>
      <c r="C24" s="157" t="s">
        <v>147</v>
      </c>
      <c r="D24" s="157" t="s">
        <v>148</v>
      </c>
      <c r="E24" s="191" t="s">
        <v>149</v>
      </c>
      <c r="F24" s="136" t="s">
        <v>35</v>
      </c>
      <c r="G24" s="173" t="s">
        <v>150</v>
      </c>
      <c r="H24" s="143" t="s">
        <v>22</v>
      </c>
      <c r="I24" s="145">
        <v>0.85</v>
      </c>
      <c r="J24" s="136">
        <v>19</v>
      </c>
      <c r="K24" s="128" t="s">
        <v>151</v>
      </c>
      <c r="L24" s="145">
        <v>0.80400000000000005</v>
      </c>
      <c r="M24" s="38">
        <v>0.82399999999999995</v>
      </c>
      <c r="N24" s="15">
        <f>IF((((($I24-$L24)/($AD24-$Z24))*($N25-$Z24))+$L24)&gt;0.85,$I24,((($I24-$L24)/($AD24-$Z24))*($N25-$Z24))+$L24)</f>
        <v>0.82391232876712328</v>
      </c>
      <c r="O24" s="15">
        <f>M24-N24</f>
        <v>8.7671232876673777E-5</v>
      </c>
      <c r="P24" s="30">
        <v>14</v>
      </c>
      <c r="Q24" s="39" t="s">
        <v>14</v>
      </c>
      <c r="R24" s="39" t="s">
        <v>14</v>
      </c>
      <c r="S24" s="189" t="s">
        <v>14</v>
      </c>
      <c r="T24" s="189" t="s">
        <v>14</v>
      </c>
      <c r="U24" s="19" t="s">
        <v>14</v>
      </c>
      <c r="V24" s="134" t="s">
        <v>14</v>
      </c>
      <c r="W24" s="136" t="s">
        <v>14</v>
      </c>
      <c r="X24" s="20" t="s">
        <v>14</v>
      </c>
      <c r="Y24" s="21" t="s">
        <v>14</v>
      </c>
      <c r="Z24" s="138">
        <v>45803</v>
      </c>
      <c r="AA24" s="139">
        <v>46898</v>
      </c>
      <c r="AB24" s="57" t="s">
        <v>96</v>
      </c>
      <c r="AC24" s="57" t="s">
        <v>96</v>
      </c>
      <c r="AD24" s="139">
        <v>46533</v>
      </c>
      <c r="AE24" s="139">
        <v>46898</v>
      </c>
      <c r="AF24" s="147">
        <f ca="1">AD24-TODAY()</f>
        <v>408</v>
      </c>
      <c r="AG24" s="120" t="s">
        <v>245</v>
      </c>
      <c r="AH24" s="121"/>
      <c r="AI24" s="124"/>
      <c r="AJ24" s="125"/>
    </row>
    <row r="25" spans="2:36" s="46" customFormat="1" ht="23.25" outlineLevel="1" x14ac:dyDescent="0.3">
      <c r="B25" s="172"/>
      <c r="C25" s="157"/>
      <c r="D25" s="157"/>
      <c r="E25" s="157"/>
      <c r="F25" s="157"/>
      <c r="G25" s="173"/>
      <c r="H25" s="144"/>
      <c r="I25" s="146"/>
      <c r="J25" s="137"/>
      <c r="K25" s="137"/>
      <c r="L25" s="146"/>
      <c r="M25" s="22" t="s">
        <v>176</v>
      </c>
      <c r="N25" s="23">
        <v>46119</v>
      </c>
      <c r="O25" s="24" t="str">
        <f>IF(O24&gt;0,"초과","미달")</f>
        <v>초과</v>
      </c>
      <c r="P25" s="51">
        <f>$P24/$J24</f>
        <v>0.73684210526315785</v>
      </c>
      <c r="Q25" s="56" t="s">
        <v>14</v>
      </c>
      <c r="R25" s="56" t="s">
        <v>14</v>
      </c>
      <c r="S25" s="190"/>
      <c r="T25" s="190"/>
      <c r="U25" s="40" t="s">
        <v>14</v>
      </c>
      <c r="V25" s="135"/>
      <c r="W25" s="137"/>
      <c r="X25" s="41" t="s">
        <v>14</v>
      </c>
      <c r="Y25" s="40" t="s">
        <v>14</v>
      </c>
      <c r="Z25" s="135"/>
      <c r="AA25" s="137"/>
      <c r="AB25" s="26" t="s">
        <v>14</v>
      </c>
      <c r="AC25" s="71" t="str">
        <f>IFERROR(AC24-AB24,"-")</f>
        <v>-</v>
      </c>
      <c r="AD25" s="140"/>
      <c r="AE25" s="137"/>
      <c r="AF25" s="148"/>
      <c r="AG25" s="122"/>
      <c r="AH25" s="123"/>
      <c r="AI25" s="126"/>
      <c r="AJ25" s="127"/>
    </row>
    <row r="26" spans="2:36" s="46" customFormat="1" ht="35.1" customHeight="1" outlineLevel="1" x14ac:dyDescent="0.3">
      <c r="B26" s="172"/>
      <c r="C26" s="157"/>
      <c r="D26" s="157"/>
      <c r="E26" s="157"/>
      <c r="F26" s="157"/>
      <c r="G26" s="173"/>
      <c r="H26" s="143" t="s">
        <v>23</v>
      </c>
      <c r="I26" s="145">
        <v>0.75</v>
      </c>
      <c r="J26" s="136">
        <v>25</v>
      </c>
      <c r="K26" s="128" t="s">
        <v>152</v>
      </c>
      <c r="L26" s="130">
        <v>0.53400000000000003</v>
      </c>
      <c r="M26" s="15">
        <v>0.55500000000000005</v>
      </c>
      <c r="N26" s="15">
        <f>IF((((($I26-$L26)/($AD26-$Z26))*($N27-$Z26))+$L26)&gt;0.85,$I26,((($I26-$L26)/($AD26-$Z26))*($N27-$Z26))+$L26)</f>
        <v>0.62750136986301375</v>
      </c>
      <c r="O26" s="15">
        <f>IFERROR(M26-N26," ")</f>
        <v>-7.2501369863013698E-2</v>
      </c>
      <c r="P26" s="16">
        <v>20</v>
      </c>
      <c r="Q26" s="17" t="s">
        <v>14</v>
      </c>
      <c r="R26" s="18" t="s">
        <v>14</v>
      </c>
      <c r="S26" s="132" t="s">
        <v>14</v>
      </c>
      <c r="T26" s="132" t="s">
        <v>14</v>
      </c>
      <c r="U26" s="19" t="s">
        <v>14</v>
      </c>
      <c r="V26" s="201">
        <v>110</v>
      </c>
      <c r="W26" s="70">
        <v>152</v>
      </c>
      <c r="X26" s="68">
        <f>($V26/($AA26-$Z26))*($N27-$Z26)</f>
        <v>31.74429223744292</v>
      </c>
      <c r="Y26" s="69">
        <f>IF((W26-X26)&lt;0,(X26-W26),(W26-X26))</f>
        <v>120.25570776255708</v>
      </c>
      <c r="Z26" s="138">
        <v>45803</v>
      </c>
      <c r="AA26" s="139">
        <v>46898</v>
      </c>
      <c r="AB26" s="57" t="s">
        <v>96</v>
      </c>
      <c r="AC26" s="57" t="s">
        <v>96</v>
      </c>
      <c r="AD26" s="139">
        <v>46533</v>
      </c>
      <c r="AE26" s="139">
        <v>46898</v>
      </c>
      <c r="AF26" s="147">
        <f ca="1">AD26-TODAY()</f>
        <v>408</v>
      </c>
      <c r="AG26" s="120" t="s">
        <v>246</v>
      </c>
      <c r="AH26" s="121"/>
      <c r="AI26" s="163"/>
      <c r="AJ26" s="164"/>
    </row>
    <row r="27" spans="2:36" s="46" customFormat="1" ht="24.95" customHeight="1" outlineLevel="1" x14ac:dyDescent="0.3">
      <c r="B27" s="135"/>
      <c r="C27" s="137"/>
      <c r="D27" s="137"/>
      <c r="E27" s="137"/>
      <c r="F27" s="137"/>
      <c r="G27" s="142"/>
      <c r="H27" s="144"/>
      <c r="I27" s="146"/>
      <c r="J27" s="137"/>
      <c r="K27" s="129"/>
      <c r="L27" s="131"/>
      <c r="M27" s="22" t="s">
        <v>176</v>
      </c>
      <c r="N27" s="23">
        <v>46119</v>
      </c>
      <c r="O27" s="24" t="str">
        <f>IF(O26&gt;0,"초과","미달")</f>
        <v>미달</v>
      </c>
      <c r="P27" s="51">
        <f>$P26/$J26</f>
        <v>0.8</v>
      </c>
      <c r="Q27" s="55" t="s">
        <v>14</v>
      </c>
      <c r="R27" s="55" t="s">
        <v>14</v>
      </c>
      <c r="S27" s="133"/>
      <c r="T27" s="133"/>
      <c r="U27" s="25" t="s">
        <v>14</v>
      </c>
      <c r="V27" s="159"/>
      <c r="W27" s="66">
        <f>$W26/$V26</f>
        <v>1.3818181818181818</v>
      </c>
      <c r="X27" s="66">
        <f>X26/V26</f>
        <v>0.28858447488584471</v>
      </c>
      <c r="Y27" s="25" t="str">
        <f>IF((W26-X26)&lt;0,"미달","초과")</f>
        <v>초과</v>
      </c>
      <c r="Z27" s="135"/>
      <c r="AA27" s="137"/>
      <c r="AB27" s="26" t="s">
        <v>14</v>
      </c>
      <c r="AC27" s="71" t="str">
        <f>IFERROR(AC26-AB26,"-")</f>
        <v>-</v>
      </c>
      <c r="AD27" s="140"/>
      <c r="AE27" s="137"/>
      <c r="AF27" s="148"/>
      <c r="AG27" s="122"/>
      <c r="AH27" s="123"/>
      <c r="AI27" s="165"/>
      <c r="AJ27" s="166"/>
    </row>
    <row r="28" spans="2:36" s="46" customFormat="1" ht="41.25" customHeight="1" outlineLevel="1" x14ac:dyDescent="0.3">
      <c r="B28" s="172">
        <v>2</v>
      </c>
      <c r="C28" s="157" t="s">
        <v>211</v>
      </c>
      <c r="D28" s="157" t="s">
        <v>49</v>
      </c>
      <c r="E28" s="157" t="s">
        <v>50</v>
      </c>
      <c r="F28" s="157" t="s">
        <v>35</v>
      </c>
      <c r="G28" s="173" t="s">
        <v>51</v>
      </c>
      <c r="H28" s="155" t="s">
        <v>36</v>
      </c>
      <c r="I28" s="156">
        <v>0.85</v>
      </c>
      <c r="J28" s="157">
        <v>28</v>
      </c>
      <c r="K28" s="128" t="s">
        <v>106</v>
      </c>
      <c r="L28" s="186">
        <v>0.85</v>
      </c>
      <c r="M28" s="49">
        <v>0.85699999999999998</v>
      </c>
      <c r="N28" s="15">
        <f>IF((((($I28-$L28)/($AD28-$Z28))*($N29-$Z28))+$L28)&gt;0.85,$I28,((($I28-$L28)/($AD28-$Z28))*($N29-$Z28))+$L28)</f>
        <v>0.85</v>
      </c>
      <c r="O28" s="15">
        <f>M28-N28</f>
        <v>7.0000000000000062E-3</v>
      </c>
      <c r="P28" s="30">
        <v>28</v>
      </c>
      <c r="Q28" s="50">
        <v>0</v>
      </c>
      <c r="R28" s="50">
        <v>0</v>
      </c>
      <c r="S28" s="200" t="s">
        <v>14</v>
      </c>
      <c r="T28" s="200" t="s">
        <v>14</v>
      </c>
      <c r="U28" s="31" t="s">
        <v>14</v>
      </c>
      <c r="V28" s="201">
        <v>90</v>
      </c>
      <c r="W28" s="70">
        <v>112</v>
      </c>
      <c r="X28" s="68">
        <f>($V28/($AA28-$Z28))*($N29-$Z28)</f>
        <v>27.515418502202646</v>
      </c>
      <c r="Y28" s="69">
        <f>IF((W28-X28)&lt;0,(X28-W28),(W28-X28))</f>
        <v>84.48458149779735</v>
      </c>
      <c r="Z28" s="187">
        <v>45772</v>
      </c>
      <c r="AA28" s="171">
        <v>46907</v>
      </c>
      <c r="AB28" s="57" t="s">
        <v>96</v>
      </c>
      <c r="AC28" s="57" t="s">
        <v>96</v>
      </c>
      <c r="AD28" s="171">
        <v>46542</v>
      </c>
      <c r="AE28" s="171">
        <v>46907</v>
      </c>
      <c r="AF28" s="149">
        <f ca="1">AD28-TODAY()</f>
        <v>417</v>
      </c>
      <c r="AG28" s="150" t="s">
        <v>236</v>
      </c>
      <c r="AH28" s="151"/>
      <c r="AI28" s="209" t="s">
        <v>237</v>
      </c>
      <c r="AJ28" s="210"/>
    </row>
    <row r="29" spans="2:36" s="46" customFormat="1" ht="24.95" customHeight="1" outlineLevel="1" x14ac:dyDescent="0.3">
      <c r="B29" s="135"/>
      <c r="C29" s="137"/>
      <c r="D29" s="137"/>
      <c r="E29" s="137"/>
      <c r="F29" s="137"/>
      <c r="G29" s="142"/>
      <c r="H29" s="144"/>
      <c r="I29" s="146"/>
      <c r="J29" s="137"/>
      <c r="K29" s="129"/>
      <c r="L29" s="131"/>
      <c r="M29" s="22" t="s">
        <v>176</v>
      </c>
      <c r="N29" s="23">
        <v>46119</v>
      </c>
      <c r="O29" s="24" t="str">
        <f>IF(O28&gt;0,"초과","미달")</f>
        <v>초과</v>
      </c>
      <c r="P29" s="51">
        <f>$P28/$J28</f>
        <v>1</v>
      </c>
      <c r="Q29" s="52" t="str">
        <f>IF($Q28/$J28=0,"-",$Q28/$J28)</f>
        <v>-</v>
      </c>
      <c r="R29" s="52" t="str">
        <f>IF($Q28/$J28=0,"-",$Q28/$J28)</f>
        <v>-</v>
      </c>
      <c r="S29" s="133"/>
      <c r="T29" s="133"/>
      <c r="U29" s="25" t="s">
        <v>14</v>
      </c>
      <c r="V29" s="159"/>
      <c r="W29" s="66">
        <f>$W28/$V28</f>
        <v>1.2444444444444445</v>
      </c>
      <c r="X29" s="66">
        <f>X28/V28</f>
        <v>0.30572687224669609</v>
      </c>
      <c r="Y29" s="25" t="str">
        <f>IF((W28-X28)&lt;0,"미달","초과")</f>
        <v>초과</v>
      </c>
      <c r="Z29" s="135"/>
      <c r="AA29" s="137"/>
      <c r="AB29" s="26" t="s">
        <v>14</v>
      </c>
      <c r="AC29" s="71" t="str">
        <f>IFERROR(AC28-AB28,"-")</f>
        <v>-</v>
      </c>
      <c r="AD29" s="140"/>
      <c r="AE29" s="137"/>
      <c r="AF29" s="148"/>
      <c r="AG29" s="122"/>
      <c r="AH29" s="123"/>
      <c r="AI29" s="126"/>
      <c r="AJ29" s="127"/>
    </row>
    <row r="30" spans="2:36" s="46" customFormat="1" ht="49.5" customHeight="1" outlineLevel="1" x14ac:dyDescent="0.3">
      <c r="B30" s="239">
        <v>3</v>
      </c>
      <c r="C30" s="136" t="s">
        <v>55</v>
      </c>
      <c r="D30" s="136" t="s">
        <v>64</v>
      </c>
      <c r="E30" s="136" t="s">
        <v>50</v>
      </c>
      <c r="F30" s="136" t="s">
        <v>35</v>
      </c>
      <c r="G30" s="141" t="s">
        <v>99</v>
      </c>
      <c r="H30" s="143" t="s">
        <v>22</v>
      </c>
      <c r="I30" s="145">
        <v>0.85</v>
      </c>
      <c r="J30" s="136">
        <v>12</v>
      </c>
      <c r="K30" s="128" t="s">
        <v>100</v>
      </c>
      <c r="L30" s="130">
        <v>0.68</v>
      </c>
      <c r="M30" s="15">
        <v>0.77900000000000003</v>
      </c>
      <c r="N30" s="15">
        <f>IF((((($I30-$L30)/($AD30-$Z30))*($N31-$Z30))+$L30)&gt;0.85,$I30,((($I30-$L30)/($AD30-$Z30))*($N31-$Z30))+$L30)</f>
        <v>0.77883136094674554</v>
      </c>
      <c r="O30" s="15">
        <f>M30-N30</f>
        <v>1.6863905325448236E-4</v>
      </c>
      <c r="P30" s="16">
        <v>12</v>
      </c>
      <c r="Q30" s="17" t="s">
        <v>14</v>
      </c>
      <c r="R30" s="18" t="s">
        <v>14</v>
      </c>
      <c r="S30" s="132" t="s">
        <v>14</v>
      </c>
      <c r="T30" s="132" t="s">
        <v>14</v>
      </c>
      <c r="U30" s="19" t="s">
        <v>14</v>
      </c>
      <c r="V30" s="134" t="s">
        <v>14</v>
      </c>
      <c r="W30" s="136" t="s">
        <v>14</v>
      </c>
      <c r="X30" s="20" t="s">
        <v>14</v>
      </c>
      <c r="Y30" s="21" t="s">
        <v>14</v>
      </c>
      <c r="Z30" s="138">
        <v>45726</v>
      </c>
      <c r="AA30" s="139">
        <v>46805</v>
      </c>
      <c r="AB30" s="57" t="s">
        <v>96</v>
      </c>
      <c r="AC30" s="57" t="s">
        <v>96</v>
      </c>
      <c r="AD30" s="139">
        <v>46402</v>
      </c>
      <c r="AE30" s="139">
        <v>46736</v>
      </c>
      <c r="AF30" s="147">
        <f ca="1">AD30-TODAY()</f>
        <v>277</v>
      </c>
      <c r="AG30" s="120"/>
      <c r="AH30" s="121"/>
      <c r="AI30" s="124" t="s">
        <v>213</v>
      </c>
      <c r="AJ30" s="125"/>
    </row>
    <row r="31" spans="2:36" s="46" customFormat="1" ht="39.950000000000003" customHeight="1" outlineLevel="1" x14ac:dyDescent="0.3">
      <c r="B31" s="240"/>
      <c r="C31" s="157"/>
      <c r="D31" s="157"/>
      <c r="E31" s="157"/>
      <c r="F31" s="157"/>
      <c r="G31" s="173"/>
      <c r="H31" s="144"/>
      <c r="I31" s="146"/>
      <c r="J31" s="137"/>
      <c r="K31" s="129"/>
      <c r="L31" s="131"/>
      <c r="M31" s="22" t="s">
        <v>198</v>
      </c>
      <c r="N31" s="23">
        <v>46119</v>
      </c>
      <c r="O31" s="24" t="str">
        <f>IF(O30&gt;0,"초과","미달")</f>
        <v>초과</v>
      </c>
      <c r="P31" s="51">
        <f>$P30/$J30</f>
        <v>1</v>
      </c>
      <c r="Q31" s="52" t="s">
        <v>14</v>
      </c>
      <c r="R31" s="52" t="s">
        <v>14</v>
      </c>
      <c r="S31" s="133"/>
      <c r="T31" s="133"/>
      <c r="U31" s="25" t="s">
        <v>14</v>
      </c>
      <c r="V31" s="135"/>
      <c r="W31" s="137"/>
      <c r="X31" s="26" t="s">
        <v>14</v>
      </c>
      <c r="Y31" s="25" t="s">
        <v>14</v>
      </c>
      <c r="Z31" s="135"/>
      <c r="AA31" s="137"/>
      <c r="AB31" s="26" t="s">
        <v>14</v>
      </c>
      <c r="AC31" s="71" t="str">
        <f>IFERROR(AC30-AB30,"-")</f>
        <v>-</v>
      </c>
      <c r="AD31" s="188"/>
      <c r="AE31" s="137"/>
      <c r="AF31" s="148"/>
      <c r="AG31" s="122"/>
      <c r="AH31" s="123"/>
      <c r="AI31" s="126"/>
      <c r="AJ31" s="127"/>
    </row>
    <row r="32" spans="2:36" s="46" customFormat="1" ht="61.5" customHeight="1" outlineLevel="1" x14ac:dyDescent="0.3">
      <c r="B32" s="240"/>
      <c r="C32" s="157"/>
      <c r="D32" s="157"/>
      <c r="E32" s="157"/>
      <c r="F32" s="157"/>
      <c r="G32" s="173"/>
      <c r="H32" s="155" t="s">
        <v>23</v>
      </c>
      <c r="I32" s="156" t="s">
        <v>14</v>
      </c>
      <c r="J32" s="157" t="s">
        <v>14</v>
      </c>
      <c r="K32" s="157" t="s">
        <v>14</v>
      </c>
      <c r="L32" s="157" t="s">
        <v>14</v>
      </c>
      <c r="M32" s="27" t="s">
        <v>14</v>
      </c>
      <c r="N32" s="15" t="s">
        <v>96</v>
      </c>
      <c r="O32" s="29" t="s">
        <v>14</v>
      </c>
      <c r="P32" s="30" t="s">
        <v>14</v>
      </c>
      <c r="Q32" s="28" t="s">
        <v>14</v>
      </c>
      <c r="R32" s="28" t="s">
        <v>14</v>
      </c>
      <c r="S32" s="189" t="s">
        <v>14</v>
      </c>
      <c r="T32" s="189" t="s">
        <v>14</v>
      </c>
      <c r="U32" s="31" t="s">
        <v>14</v>
      </c>
      <c r="V32" s="134" t="s">
        <v>14</v>
      </c>
      <c r="W32" s="136" t="s">
        <v>14</v>
      </c>
      <c r="X32" s="27" t="s">
        <v>14</v>
      </c>
      <c r="Y32" s="32" t="s">
        <v>14</v>
      </c>
      <c r="Z32" s="134" t="s">
        <v>14</v>
      </c>
      <c r="AA32" s="136" t="s">
        <v>14</v>
      </c>
      <c r="AB32" s="62" t="s">
        <v>14</v>
      </c>
      <c r="AC32" s="62" t="s">
        <v>14</v>
      </c>
      <c r="AD32" s="192" t="s">
        <v>14</v>
      </c>
      <c r="AE32" s="136" t="s">
        <v>14</v>
      </c>
      <c r="AF32" s="193" t="s">
        <v>14</v>
      </c>
      <c r="AG32" s="195"/>
      <c r="AH32" s="196"/>
      <c r="AI32" s="209"/>
      <c r="AJ32" s="210"/>
    </row>
    <row r="33" spans="2:36" s="46" customFormat="1" ht="24.95" customHeight="1" outlineLevel="1" x14ac:dyDescent="0.3">
      <c r="B33" s="241"/>
      <c r="C33" s="137"/>
      <c r="D33" s="137"/>
      <c r="E33" s="137"/>
      <c r="F33" s="137"/>
      <c r="G33" s="142"/>
      <c r="H33" s="144"/>
      <c r="I33" s="146"/>
      <c r="J33" s="137"/>
      <c r="K33" s="137"/>
      <c r="L33" s="137"/>
      <c r="M33" s="72" t="s">
        <v>14</v>
      </c>
      <c r="N33" s="73" t="s">
        <v>14</v>
      </c>
      <c r="O33" s="74" t="s">
        <v>14</v>
      </c>
      <c r="P33" s="75" t="s">
        <v>14</v>
      </c>
      <c r="Q33" s="58" t="s">
        <v>14</v>
      </c>
      <c r="R33" s="58" t="s">
        <v>14</v>
      </c>
      <c r="S33" s="190"/>
      <c r="T33" s="190"/>
      <c r="U33" s="40" t="s">
        <v>14</v>
      </c>
      <c r="V33" s="135"/>
      <c r="W33" s="137"/>
      <c r="X33" s="41" t="s">
        <v>14</v>
      </c>
      <c r="Y33" s="40" t="s">
        <v>14</v>
      </c>
      <c r="Z33" s="135"/>
      <c r="AA33" s="137"/>
      <c r="AB33" s="41" t="s">
        <v>14</v>
      </c>
      <c r="AC33" s="58" t="s">
        <v>14</v>
      </c>
      <c r="AD33" s="161"/>
      <c r="AE33" s="137"/>
      <c r="AF33" s="194"/>
      <c r="AG33" s="197"/>
      <c r="AH33" s="161"/>
      <c r="AI33" s="126"/>
      <c r="AJ33" s="127"/>
    </row>
    <row r="34" spans="2:36" s="46" customFormat="1" ht="72.75" customHeight="1" outlineLevel="1" x14ac:dyDescent="0.3">
      <c r="B34" s="134">
        <v>4</v>
      </c>
      <c r="C34" s="136" t="s">
        <v>204</v>
      </c>
      <c r="D34" s="136" t="s">
        <v>60</v>
      </c>
      <c r="E34" s="128" t="s">
        <v>101</v>
      </c>
      <c r="F34" s="136" t="s">
        <v>35</v>
      </c>
      <c r="G34" s="141" t="s">
        <v>98</v>
      </c>
      <c r="H34" s="143" t="s">
        <v>22</v>
      </c>
      <c r="I34" s="145">
        <v>0.85</v>
      </c>
      <c r="J34" s="136">
        <v>11</v>
      </c>
      <c r="K34" s="128" t="s">
        <v>134</v>
      </c>
      <c r="L34" s="130">
        <v>0.8</v>
      </c>
      <c r="M34" s="15">
        <v>0.86899999999999999</v>
      </c>
      <c r="N34" s="15">
        <f>IF((((($I34-$L34)/($AD34-$Z34))*($N35-$Z34))+$L34)&gt;0.85,$I34,((($I34-$L34)/($AD34-$Z34))*($N35-$Z34))+$L34)</f>
        <v>0.85</v>
      </c>
      <c r="O34" s="15">
        <f>M34-N34</f>
        <v>1.9000000000000017E-2</v>
      </c>
      <c r="P34" s="16">
        <v>11</v>
      </c>
      <c r="Q34" s="17">
        <v>0</v>
      </c>
      <c r="R34" s="17">
        <v>0</v>
      </c>
      <c r="S34" s="132" t="s">
        <v>14</v>
      </c>
      <c r="T34" s="132" t="s">
        <v>14</v>
      </c>
      <c r="U34" s="19" t="s">
        <v>14</v>
      </c>
      <c r="V34" s="158">
        <v>17</v>
      </c>
      <c r="W34" s="77">
        <v>15</v>
      </c>
      <c r="X34" s="78">
        <f>($V34/($AA34-$Z34))*($N35-$Z34)</f>
        <v>7.6886005560704351</v>
      </c>
      <c r="Y34" s="79">
        <f>IF((W34-X34)&lt;0,(X34-W34),(W34-X34))</f>
        <v>7.3113994439295649</v>
      </c>
      <c r="Z34" s="138">
        <v>45631</v>
      </c>
      <c r="AA34" s="139">
        <v>46710</v>
      </c>
      <c r="AB34" s="57" t="s">
        <v>14</v>
      </c>
      <c r="AC34" s="57" t="s">
        <v>14</v>
      </c>
      <c r="AD34" s="139">
        <v>45992</v>
      </c>
      <c r="AE34" s="139">
        <v>46356</v>
      </c>
      <c r="AF34" s="147">
        <f ca="1">AD34-TODAY()</f>
        <v>-133</v>
      </c>
      <c r="AG34" s="120" t="s">
        <v>249</v>
      </c>
      <c r="AH34" s="121"/>
      <c r="AI34" s="242"/>
      <c r="AJ34" s="125"/>
    </row>
    <row r="35" spans="2:36" s="46" customFormat="1" ht="39.950000000000003" customHeight="1" outlineLevel="1" x14ac:dyDescent="0.3">
      <c r="B35" s="172"/>
      <c r="C35" s="157"/>
      <c r="D35" s="157"/>
      <c r="E35" s="157"/>
      <c r="F35" s="157"/>
      <c r="G35" s="173"/>
      <c r="H35" s="144"/>
      <c r="I35" s="146"/>
      <c r="J35" s="137"/>
      <c r="K35" s="129"/>
      <c r="L35" s="131"/>
      <c r="M35" s="22" t="s">
        <v>215</v>
      </c>
      <c r="N35" s="23">
        <v>46119</v>
      </c>
      <c r="O35" s="24" t="str">
        <f>IF(O34&gt;0,"초과","미달")</f>
        <v>초과</v>
      </c>
      <c r="P35" s="51">
        <f>$P34/$J34</f>
        <v>1</v>
      </c>
      <c r="Q35" s="52" t="str">
        <f>IF($Q34/$J34=0,"-",$Q34/$J34)</f>
        <v>-</v>
      </c>
      <c r="R35" s="52" t="str">
        <f>IF($Q34/$J34=0,"-",$Q34/$J34)</f>
        <v>-</v>
      </c>
      <c r="S35" s="133"/>
      <c r="T35" s="133"/>
      <c r="U35" s="25" t="s">
        <v>14</v>
      </c>
      <c r="V35" s="159"/>
      <c r="W35" s="66">
        <f>$W34/$V34</f>
        <v>0.88235294117647056</v>
      </c>
      <c r="X35" s="66">
        <f>X34/V34</f>
        <v>0.45227062094531972</v>
      </c>
      <c r="Y35" s="25" t="str">
        <f>IF((W34-X34)&lt;0,"미달","초과")</f>
        <v>초과</v>
      </c>
      <c r="Z35" s="135"/>
      <c r="AA35" s="137"/>
      <c r="AB35" s="41" t="s">
        <v>14</v>
      </c>
      <c r="AC35" s="71" t="str">
        <f>IFERROR(AC34-AB34,"-")</f>
        <v>-</v>
      </c>
      <c r="AD35" s="188"/>
      <c r="AE35" s="137"/>
      <c r="AF35" s="148"/>
      <c r="AG35" s="122"/>
      <c r="AH35" s="123"/>
      <c r="AI35" s="126"/>
      <c r="AJ35" s="127"/>
    </row>
    <row r="36" spans="2:36" s="46" customFormat="1" ht="32.1" customHeight="1" outlineLevel="1" x14ac:dyDescent="0.3">
      <c r="B36" s="172"/>
      <c r="C36" s="157"/>
      <c r="D36" s="157"/>
      <c r="E36" s="157"/>
      <c r="F36" s="157"/>
      <c r="G36" s="173"/>
      <c r="H36" s="155" t="s">
        <v>23</v>
      </c>
      <c r="I36" s="156" t="s">
        <v>14</v>
      </c>
      <c r="J36" s="157" t="s">
        <v>14</v>
      </c>
      <c r="K36" s="157" t="s">
        <v>14</v>
      </c>
      <c r="L36" s="157" t="s">
        <v>14</v>
      </c>
      <c r="M36" s="27" t="s">
        <v>14</v>
      </c>
      <c r="N36" s="28" t="s">
        <v>14</v>
      </c>
      <c r="O36" s="29" t="s">
        <v>14</v>
      </c>
      <c r="P36" s="30" t="s">
        <v>14</v>
      </c>
      <c r="Q36" s="28" t="s">
        <v>14</v>
      </c>
      <c r="R36" s="28" t="s">
        <v>14</v>
      </c>
      <c r="S36" s="189" t="s">
        <v>14</v>
      </c>
      <c r="T36" s="189" t="s">
        <v>14</v>
      </c>
      <c r="U36" s="31" t="s">
        <v>14</v>
      </c>
      <c r="V36" s="134" t="s">
        <v>14</v>
      </c>
      <c r="W36" s="136" t="s">
        <v>14</v>
      </c>
      <c r="X36" s="27" t="s">
        <v>14</v>
      </c>
      <c r="Y36" s="32" t="s">
        <v>14</v>
      </c>
      <c r="Z36" s="134" t="s">
        <v>14</v>
      </c>
      <c r="AA36" s="136" t="s">
        <v>14</v>
      </c>
      <c r="AB36" s="62" t="s">
        <v>14</v>
      </c>
      <c r="AC36" s="62" t="s">
        <v>14</v>
      </c>
      <c r="AD36" s="192" t="s">
        <v>14</v>
      </c>
      <c r="AE36" s="136" t="s">
        <v>14</v>
      </c>
      <c r="AF36" s="193" t="s">
        <v>14</v>
      </c>
      <c r="AG36" s="195"/>
      <c r="AH36" s="196"/>
      <c r="AI36" s="198"/>
      <c r="AJ36" s="199"/>
    </row>
    <row r="37" spans="2:36" s="46" customFormat="1" ht="32.1" customHeight="1" outlineLevel="1" x14ac:dyDescent="0.3">
      <c r="B37" s="135"/>
      <c r="C37" s="137"/>
      <c r="D37" s="137"/>
      <c r="E37" s="137"/>
      <c r="F37" s="137"/>
      <c r="G37" s="142"/>
      <c r="H37" s="144"/>
      <c r="I37" s="146"/>
      <c r="J37" s="137"/>
      <c r="K37" s="137"/>
      <c r="L37" s="137"/>
      <c r="M37" s="72" t="s">
        <v>14</v>
      </c>
      <c r="N37" s="73" t="s">
        <v>14</v>
      </c>
      <c r="O37" s="74" t="s">
        <v>14</v>
      </c>
      <c r="P37" s="75" t="s">
        <v>14</v>
      </c>
      <c r="Q37" s="58" t="s">
        <v>14</v>
      </c>
      <c r="R37" s="58" t="s">
        <v>14</v>
      </c>
      <c r="S37" s="190"/>
      <c r="T37" s="190"/>
      <c r="U37" s="40" t="s">
        <v>14</v>
      </c>
      <c r="V37" s="135"/>
      <c r="W37" s="137"/>
      <c r="X37" s="41" t="s">
        <v>14</v>
      </c>
      <c r="Y37" s="40" t="s">
        <v>14</v>
      </c>
      <c r="Z37" s="135"/>
      <c r="AA37" s="137"/>
      <c r="AB37" s="41" t="s">
        <v>14</v>
      </c>
      <c r="AC37" s="58" t="s">
        <v>14</v>
      </c>
      <c r="AD37" s="161"/>
      <c r="AE37" s="137"/>
      <c r="AF37" s="194"/>
      <c r="AG37" s="197"/>
      <c r="AH37" s="161"/>
      <c r="AI37" s="165"/>
      <c r="AJ37" s="166"/>
    </row>
    <row r="38" spans="2:36" s="46" customFormat="1" ht="32.1" customHeight="1" outlineLevel="1" x14ac:dyDescent="0.3">
      <c r="B38" s="172">
        <v>5</v>
      </c>
      <c r="C38" s="157" t="s">
        <v>131</v>
      </c>
      <c r="D38" s="157" t="s">
        <v>127</v>
      </c>
      <c r="E38" s="157" t="s">
        <v>128</v>
      </c>
      <c r="F38" s="157" t="s">
        <v>35</v>
      </c>
      <c r="G38" s="173" t="s">
        <v>129</v>
      </c>
      <c r="H38" s="155" t="s">
        <v>23</v>
      </c>
      <c r="I38" s="156">
        <v>0.85</v>
      </c>
      <c r="J38" s="157">
        <v>8</v>
      </c>
      <c r="K38" s="191" t="s">
        <v>130</v>
      </c>
      <c r="L38" s="186">
        <v>0.79600000000000004</v>
      </c>
      <c r="M38" s="49">
        <v>0.80100000000000005</v>
      </c>
      <c r="N38" s="49">
        <f>IF((((($I38-$L38)/($AD38-$Z38))*($N39-$Z38))+$L38)&gt;0.85,$I38,((($I38-$L38)/($AD38-$Z38))*($N39-$Z38))+$L38)</f>
        <v>0.84940821917808218</v>
      </c>
      <c r="O38" s="49">
        <f>M38-N38</f>
        <v>-4.8408219178082135E-2</v>
      </c>
      <c r="P38" s="30">
        <v>8</v>
      </c>
      <c r="Q38" s="50">
        <v>0</v>
      </c>
      <c r="R38" s="50">
        <v>2</v>
      </c>
      <c r="S38" s="200" t="s">
        <v>14</v>
      </c>
      <c r="T38" s="200" t="s">
        <v>14</v>
      </c>
      <c r="U38" s="31">
        <v>88</v>
      </c>
      <c r="V38" s="201">
        <v>282</v>
      </c>
      <c r="W38" s="70">
        <v>92</v>
      </c>
      <c r="X38" s="68">
        <f>($V38/($AA38-$Z38))*($N39-$Z38)</f>
        <v>93.054844606946986</v>
      </c>
      <c r="Y38" s="69">
        <f>IF((W38-X38)&lt;0,(X38-W38),(W38-X38))</f>
        <v>1.0548446069469861</v>
      </c>
      <c r="Z38" s="187">
        <v>45765</v>
      </c>
      <c r="AA38" s="171">
        <v>46859</v>
      </c>
      <c r="AB38" s="65" t="s">
        <v>14</v>
      </c>
      <c r="AC38" s="65" t="s">
        <v>14</v>
      </c>
      <c r="AD38" s="171">
        <v>46130</v>
      </c>
      <c r="AE38" s="171">
        <v>46828</v>
      </c>
      <c r="AF38" s="149">
        <f ca="1">AD38-TODAY()</f>
        <v>5</v>
      </c>
      <c r="AG38" s="150"/>
      <c r="AH38" s="151"/>
      <c r="AI38" s="209"/>
      <c r="AJ38" s="210"/>
    </row>
    <row r="39" spans="2:36" s="46" customFormat="1" ht="32.1" customHeight="1" outlineLevel="1" x14ac:dyDescent="0.3">
      <c r="B39" s="135"/>
      <c r="C39" s="137"/>
      <c r="D39" s="137"/>
      <c r="E39" s="137"/>
      <c r="F39" s="137"/>
      <c r="G39" s="142"/>
      <c r="H39" s="144"/>
      <c r="I39" s="146"/>
      <c r="J39" s="137"/>
      <c r="K39" s="129"/>
      <c r="L39" s="131"/>
      <c r="M39" s="22" t="s">
        <v>258</v>
      </c>
      <c r="N39" s="23">
        <v>46126</v>
      </c>
      <c r="O39" s="24" t="str">
        <f>IF(O38&gt;0,"초과","미달")</f>
        <v>미달</v>
      </c>
      <c r="P39" s="51">
        <f>$P38/$J38</f>
        <v>1</v>
      </c>
      <c r="Q39" s="52" t="str">
        <f>IF($Q38/$J38=0,"-",$Q38/$J38)</f>
        <v>-</v>
      </c>
      <c r="R39" s="52">
        <f>IF($R38/$J38=0,"-",$R38/$J38)</f>
        <v>0.25</v>
      </c>
      <c r="S39" s="133"/>
      <c r="T39" s="133"/>
      <c r="U39" s="25" t="s">
        <v>14</v>
      </c>
      <c r="V39" s="159"/>
      <c r="W39" s="66">
        <f>$W38/$V38</f>
        <v>0.32624113475177308</v>
      </c>
      <c r="X39" s="66">
        <f>X38/V38</f>
        <v>0.32998171846435104</v>
      </c>
      <c r="Y39" s="25" t="str">
        <f>IF((W38-X38)&lt;0,"미달","초과")</f>
        <v>미달</v>
      </c>
      <c r="Z39" s="135"/>
      <c r="AA39" s="137"/>
      <c r="AB39" s="26" t="s">
        <v>14</v>
      </c>
      <c r="AC39" s="71" t="str">
        <f>IFERROR(AC38-AB38,"-")</f>
        <v>-</v>
      </c>
      <c r="AD39" s="140"/>
      <c r="AE39" s="137"/>
      <c r="AF39" s="148"/>
      <c r="AG39" s="122"/>
      <c r="AH39" s="123"/>
      <c r="AI39" s="126"/>
      <c r="AJ39" s="127"/>
    </row>
    <row r="40" spans="2:36" s="46" customFormat="1" ht="32.1" customHeight="1" outlineLevel="1" x14ac:dyDescent="0.3">
      <c r="B40" s="134">
        <v>6</v>
      </c>
      <c r="C40" s="136" t="s">
        <v>33</v>
      </c>
      <c r="D40" s="136" t="s">
        <v>135</v>
      </c>
      <c r="E40" s="128" t="s">
        <v>12</v>
      </c>
      <c r="F40" s="136" t="s">
        <v>35</v>
      </c>
      <c r="G40" s="141" t="s">
        <v>136</v>
      </c>
      <c r="H40" s="143" t="s">
        <v>22</v>
      </c>
      <c r="I40" s="145">
        <v>0.85</v>
      </c>
      <c r="J40" s="136">
        <v>5</v>
      </c>
      <c r="K40" s="128" t="s">
        <v>137</v>
      </c>
      <c r="L40" s="130">
        <v>0.91400000000000003</v>
      </c>
      <c r="M40" s="15">
        <v>0.877</v>
      </c>
      <c r="N40" s="15">
        <f>IF((((($I40-$L40)/($AD40-$Z40))*($N41-$Z40))+$L40)&gt;0.85,$I40,((($I40-$L40)/($AD40-$Z40))*($N41-$Z40))+$L40)</f>
        <v>0.85</v>
      </c>
      <c r="O40" s="15">
        <f>M40-N40</f>
        <v>2.7000000000000024E-2</v>
      </c>
      <c r="P40" s="16">
        <v>5</v>
      </c>
      <c r="Q40" s="17" t="s">
        <v>139</v>
      </c>
      <c r="R40" s="17" t="s">
        <v>139</v>
      </c>
      <c r="S40" s="132" t="s">
        <v>14</v>
      </c>
      <c r="T40" s="132" t="s">
        <v>14</v>
      </c>
      <c r="U40" s="19" t="s">
        <v>14</v>
      </c>
      <c r="V40" s="158" t="s">
        <v>139</v>
      </c>
      <c r="W40" s="77" t="s">
        <v>139</v>
      </c>
      <c r="X40" s="78" t="s">
        <v>139</v>
      </c>
      <c r="Y40" s="79" t="s">
        <v>139</v>
      </c>
      <c r="Z40" s="138">
        <v>45780</v>
      </c>
      <c r="AA40" s="139">
        <v>46874</v>
      </c>
      <c r="AB40" s="57" t="s">
        <v>14</v>
      </c>
      <c r="AC40" s="57" t="s">
        <v>14</v>
      </c>
      <c r="AD40" s="139">
        <v>46569</v>
      </c>
      <c r="AE40" s="139">
        <v>46752</v>
      </c>
      <c r="AF40" s="147">
        <f ca="1">AD40-TODAY()</f>
        <v>444</v>
      </c>
      <c r="AG40" s="120"/>
      <c r="AH40" s="121"/>
      <c r="AI40" s="163"/>
      <c r="AJ40" s="164"/>
    </row>
    <row r="41" spans="2:36" s="46" customFormat="1" ht="32.1" customHeight="1" outlineLevel="1" x14ac:dyDescent="0.3">
      <c r="B41" s="172"/>
      <c r="C41" s="157"/>
      <c r="D41" s="157"/>
      <c r="E41" s="157"/>
      <c r="F41" s="157"/>
      <c r="G41" s="173"/>
      <c r="H41" s="144"/>
      <c r="I41" s="146"/>
      <c r="J41" s="137"/>
      <c r="K41" s="129"/>
      <c r="L41" s="131"/>
      <c r="M41" s="22" t="s">
        <v>176</v>
      </c>
      <c r="N41" s="23">
        <v>46119</v>
      </c>
      <c r="O41" s="24" t="str">
        <f>IF(O40&gt;0,"초과","미달")</f>
        <v>초과</v>
      </c>
      <c r="P41" s="51">
        <f>$P40/$J40</f>
        <v>1</v>
      </c>
      <c r="Q41" s="52" t="s">
        <v>139</v>
      </c>
      <c r="R41" s="52" t="s">
        <v>139</v>
      </c>
      <c r="S41" s="133"/>
      <c r="T41" s="133"/>
      <c r="U41" s="25" t="s">
        <v>14</v>
      </c>
      <c r="V41" s="159"/>
      <c r="W41" s="66" t="s">
        <v>139</v>
      </c>
      <c r="X41" s="66" t="s">
        <v>139</v>
      </c>
      <c r="Y41" s="25" t="s">
        <v>139</v>
      </c>
      <c r="Z41" s="135"/>
      <c r="AA41" s="137"/>
      <c r="AB41" s="41" t="s">
        <v>14</v>
      </c>
      <c r="AC41" s="71" t="str">
        <f>IFERROR(AC40-AB40,"-")</f>
        <v>-</v>
      </c>
      <c r="AD41" s="188"/>
      <c r="AE41" s="137"/>
      <c r="AF41" s="148"/>
      <c r="AG41" s="122"/>
      <c r="AH41" s="123"/>
      <c r="AI41" s="165"/>
      <c r="AJ41" s="166"/>
    </row>
    <row r="42" spans="2:36" s="46" customFormat="1" ht="32.1" customHeight="1" outlineLevel="1" x14ac:dyDescent="0.3">
      <c r="B42" s="172"/>
      <c r="C42" s="157"/>
      <c r="D42" s="157"/>
      <c r="E42" s="157"/>
      <c r="F42" s="157"/>
      <c r="G42" s="173"/>
      <c r="H42" s="155" t="s">
        <v>23</v>
      </c>
      <c r="I42" s="156">
        <v>0.72</v>
      </c>
      <c r="J42" s="157">
        <v>96</v>
      </c>
      <c r="K42" s="157" t="s">
        <v>138</v>
      </c>
      <c r="L42" s="186">
        <v>0.70199999999999996</v>
      </c>
      <c r="M42" s="15">
        <v>0.70099999999999996</v>
      </c>
      <c r="N42" s="15">
        <f>IF((((($I42-$L42)/($AD42-$Z42))*($N43-$Z42))+$L42)&gt;0.85,$I42,((($I42-$L42)/($AD42-$Z42))*($N43-$Z42))+$L42)</f>
        <v>0.70973384030418252</v>
      </c>
      <c r="O42" s="15">
        <f>M42-N42</f>
        <v>-8.7338403041825607E-3</v>
      </c>
      <c r="P42" s="30">
        <v>96</v>
      </c>
      <c r="Q42" s="28" t="s">
        <v>14</v>
      </c>
      <c r="R42" s="28" t="s">
        <v>14</v>
      </c>
      <c r="S42" s="189" t="s">
        <v>14</v>
      </c>
      <c r="T42" s="189" t="s">
        <v>14</v>
      </c>
      <c r="U42" s="31" t="s">
        <v>14</v>
      </c>
      <c r="V42" s="201">
        <v>450</v>
      </c>
      <c r="W42" s="70">
        <v>147</v>
      </c>
      <c r="X42" s="68">
        <f>($V42/($AA42-$Z42))*($N43-$Z42)</f>
        <v>139.44241316270566</v>
      </c>
      <c r="Y42" s="69">
        <f>IF((W42-X42)&lt;0,(X42-W42),(W42-X42))</f>
        <v>7.5575868372943376</v>
      </c>
      <c r="Z42" s="138">
        <v>45780</v>
      </c>
      <c r="AA42" s="139">
        <v>46874</v>
      </c>
      <c r="AB42" s="57" t="s">
        <v>14</v>
      </c>
      <c r="AC42" s="57" t="s">
        <v>14</v>
      </c>
      <c r="AD42" s="139">
        <v>46569</v>
      </c>
      <c r="AE42" s="139">
        <v>46752</v>
      </c>
      <c r="AF42" s="147">
        <f ca="1">AD42-TODAY()</f>
        <v>444</v>
      </c>
      <c r="AG42" s="195"/>
      <c r="AH42" s="196"/>
      <c r="AI42" s="198"/>
      <c r="AJ42" s="199"/>
    </row>
    <row r="43" spans="2:36" s="46" customFormat="1" ht="32.1" customHeight="1" outlineLevel="1" x14ac:dyDescent="0.3">
      <c r="B43" s="135"/>
      <c r="C43" s="137"/>
      <c r="D43" s="137"/>
      <c r="E43" s="137"/>
      <c r="F43" s="137"/>
      <c r="G43" s="142"/>
      <c r="H43" s="144"/>
      <c r="I43" s="146"/>
      <c r="J43" s="137"/>
      <c r="K43" s="137"/>
      <c r="L43" s="131"/>
      <c r="M43" s="22" t="s">
        <v>176</v>
      </c>
      <c r="N43" s="23">
        <v>46119</v>
      </c>
      <c r="O43" s="24" t="str">
        <f>IF(O42&gt;0,"초과","미달")</f>
        <v>미달</v>
      </c>
      <c r="P43" s="51">
        <f>$P42/$J42</f>
        <v>1</v>
      </c>
      <c r="Q43" s="52" t="s">
        <v>139</v>
      </c>
      <c r="R43" s="52" t="s">
        <v>139</v>
      </c>
      <c r="S43" s="190"/>
      <c r="T43" s="190"/>
      <c r="U43" s="40" t="s">
        <v>14</v>
      </c>
      <c r="V43" s="159"/>
      <c r="W43" s="66">
        <f>$W42/$V42</f>
        <v>0.32666666666666666</v>
      </c>
      <c r="X43" s="66">
        <f>X42/V42</f>
        <v>0.30987202925045704</v>
      </c>
      <c r="Y43" s="25" t="str">
        <f>IF((W42-X42)&lt;0,"미달","초과")</f>
        <v>초과</v>
      </c>
      <c r="Z43" s="135"/>
      <c r="AA43" s="137"/>
      <c r="AB43" s="41" t="s">
        <v>14</v>
      </c>
      <c r="AC43" s="71" t="str">
        <f>IFERROR(AC42-AB42,"-")</f>
        <v>-</v>
      </c>
      <c r="AD43" s="188"/>
      <c r="AE43" s="137"/>
      <c r="AF43" s="148"/>
      <c r="AG43" s="197"/>
      <c r="AH43" s="161"/>
      <c r="AI43" s="165"/>
      <c r="AJ43" s="166"/>
    </row>
    <row r="44" spans="2:36" s="46" customFormat="1" ht="32.1" customHeight="1" outlineLevel="1" x14ac:dyDescent="0.3">
      <c r="B44" s="134">
        <v>7</v>
      </c>
      <c r="C44" s="136" t="s">
        <v>47</v>
      </c>
      <c r="D44" s="136" t="s">
        <v>62</v>
      </c>
      <c r="E44" s="128" t="s">
        <v>142</v>
      </c>
      <c r="F44" s="136" t="s">
        <v>35</v>
      </c>
      <c r="G44" s="141" t="s">
        <v>143</v>
      </c>
      <c r="H44" s="143" t="s">
        <v>22</v>
      </c>
      <c r="I44" s="145">
        <v>0.88100000000000001</v>
      </c>
      <c r="J44" s="136">
        <v>6</v>
      </c>
      <c r="K44" s="128" t="s">
        <v>140</v>
      </c>
      <c r="L44" s="130">
        <v>0.88100000000000001</v>
      </c>
      <c r="M44" s="15">
        <v>0.874</v>
      </c>
      <c r="N44" s="15">
        <f>IF((((($I44-$L44)/($AD44-$Z44))*($N45-$Z44))+$L44)&gt;0.85,$I44,((($I44-$L44)/($AD44-$Z44))*($N45-$Z44))+$L44)</f>
        <v>0.88100000000000001</v>
      </c>
      <c r="O44" s="15">
        <f>M44-N44</f>
        <v>-7.0000000000000062E-3</v>
      </c>
      <c r="P44" s="16">
        <v>6</v>
      </c>
      <c r="Q44" s="17" t="s">
        <v>139</v>
      </c>
      <c r="R44" s="17" t="s">
        <v>139</v>
      </c>
      <c r="S44" s="132" t="s">
        <v>14</v>
      </c>
      <c r="T44" s="132" t="s">
        <v>14</v>
      </c>
      <c r="U44" s="19" t="s">
        <v>14</v>
      </c>
      <c r="V44" s="158" t="s">
        <v>139</v>
      </c>
      <c r="W44" s="77" t="s">
        <v>139</v>
      </c>
      <c r="X44" s="78" t="s">
        <v>139</v>
      </c>
      <c r="Y44" s="79" t="s">
        <v>139</v>
      </c>
      <c r="Z44" s="138">
        <v>45810</v>
      </c>
      <c r="AA44" s="139">
        <v>46889</v>
      </c>
      <c r="AB44" s="57" t="s">
        <v>14</v>
      </c>
      <c r="AC44" s="57" t="s">
        <v>14</v>
      </c>
      <c r="AD44" s="139">
        <v>45811</v>
      </c>
      <c r="AE44" s="139">
        <v>46889</v>
      </c>
      <c r="AF44" s="147">
        <f ca="1">AD44-TODAY()</f>
        <v>-314</v>
      </c>
      <c r="AG44" s="120" t="s">
        <v>175</v>
      </c>
      <c r="AH44" s="121"/>
      <c r="AI44" s="124" t="s">
        <v>217</v>
      </c>
      <c r="AJ44" s="125"/>
    </row>
    <row r="45" spans="2:36" s="46" customFormat="1" ht="32.1" customHeight="1" outlineLevel="1" x14ac:dyDescent="0.3">
      <c r="B45" s="172"/>
      <c r="C45" s="157"/>
      <c r="D45" s="157"/>
      <c r="E45" s="157"/>
      <c r="F45" s="157"/>
      <c r="G45" s="173"/>
      <c r="H45" s="144"/>
      <c r="I45" s="146"/>
      <c r="J45" s="137"/>
      <c r="K45" s="129"/>
      <c r="L45" s="131"/>
      <c r="M45" s="22" t="s">
        <v>198</v>
      </c>
      <c r="N45" s="23">
        <v>46119</v>
      </c>
      <c r="O45" s="24" t="str">
        <f>IF(O44&gt;0,"초과","미달")</f>
        <v>미달</v>
      </c>
      <c r="P45" s="51">
        <f>$P44/$J44</f>
        <v>1</v>
      </c>
      <c r="Q45" s="52" t="s">
        <v>139</v>
      </c>
      <c r="R45" s="52" t="s">
        <v>139</v>
      </c>
      <c r="S45" s="133"/>
      <c r="T45" s="133"/>
      <c r="U45" s="25" t="s">
        <v>14</v>
      </c>
      <c r="V45" s="159"/>
      <c r="W45" s="66" t="s">
        <v>139</v>
      </c>
      <c r="X45" s="66" t="s">
        <v>139</v>
      </c>
      <c r="Y45" s="25" t="s">
        <v>139</v>
      </c>
      <c r="Z45" s="135"/>
      <c r="AA45" s="137"/>
      <c r="AB45" s="41" t="s">
        <v>14</v>
      </c>
      <c r="AC45" s="71" t="str">
        <f>IFERROR(AC44-AB44,"-")</f>
        <v>-</v>
      </c>
      <c r="AD45" s="188"/>
      <c r="AE45" s="137"/>
      <c r="AF45" s="148"/>
      <c r="AG45" s="122"/>
      <c r="AH45" s="123"/>
      <c r="AI45" s="126"/>
      <c r="AJ45" s="127"/>
    </row>
    <row r="46" spans="2:36" s="46" customFormat="1" ht="32.1" customHeight="1" outlineLevel="1" x14ac:dyDescent="0.3">
      <c r="B46" s="172"/>
      <c r="C46" s="157"/>
      <c r="D46" s="157"/>
      <c r="E46" s="157"/>
      <c r="F46" s="157"/>
      <c r="G46" s="173"/>
      <c r="H46" s="155" t="s">
        <v>23</v>
      </c>
      <c r="I46" s="156">
        <v>0.83</v>
      </c>
      <c r="J46" s="157">
        <v>65</v>
      </c>
      <c r="K46" s="157" t="s">
        <v>141</v>
      </c>
      <c r="L46" s="186">
        <v>0.75600000000000001</v>
      </c>
      <c r="M46" s="15">
        <v>0.79300000000000004</v>
      </c>
      <c r="N46" s="15">
        <f>IF((((($I46-$L46)/($AD46-$Z46))*($N47-$Z46))+$L46)&gt;0.85,$I46,((($I46-$L46)/($AD46-$Z46))*($N47-$Z46))+$L46)</f>
        <v>0.7819251700680272</v>
      </c>
      <c r="O46" s="15">
        <f>M46-N46</f>
        <v>1.107482993197284E-2</v>
      </c>
      <c r="P46" s="30">
        <v>65</v>
      </c>
      <c r="Q46" s="28" t="s">
        <v>14</v>
      </c>
      <c r="R46" s="28" t="s">
        <v>14</v>
      </c>
      <c r="S46" s="189" t="s">
        <v>14</v>
      </c>
      <c r="T46" s="189" t="s">
        <v>14</v>
      </c>
      <c r="U46" s="31" t="s">
        <v>14</v>
      </c>
      <c r="V46" s="134" t="s">
        <v>14</v>
      </c>
      <c r="W46" s="136" t="s">
        <v>14</v>
      </c>
      <c r="X46" s="27" t="s">
        <v>14</v>
      </c>
      <c r="Y46" s="32" t="s">
        <v>14</v>
      </c>
      <c r="Z46" s="138">
        <v>45810</v>
      </c>
      <c r="AA46" s="139">
        <v>46889</v>
      </c>
      <c r="AB46" s="57" t="s">
        <v>14</v>
      </c>
      <c r="AC46" s="57" t="s">
        <v>14</v>
      </c>
      <c r="AD46" s="139">
        <v>46692</v>
      </c>
      <c r="AE46" s="139">
        <v>46873</v>
      </c>
      <c r="AF46" s="147">
        <f ca="1">AD46-TODAY()</f>
        <v>567</v>
      </c>
      <c r="AG46" s="267" t="s">
        <v>230</v>
      </c>
      <c r="AH46" s="151"/>
      <c r="AI46" s="268" t="s">
        <v>231</v>
      </c>
      <c r="AJ46" s="210"/>
    </row>
    <row r="47" spans="2:36" s="46" customFormat="1" ht="32.1" customHeight="1" outlineLevel="1" x14ac:dyDescent="0.3">
      <c r="B47" s="135"/>
      <c r="C47" s="137"/>
      <c r="D47" s="137"/>
      <c r="E47" s="137"/>
      <c r="F47" s="137"/>
      <c r="G47" s="142"/>
      <c r="H47" s="144"/>
      <c r="I47" s="146"/>
      <c r="J47" s="137"/>
      <c r="K47" s="137"/>
      <c r="L47" s="131"/>
      <c r="M47" s="22" t="s">
        <v>198</v>
      </c>
      <c r="N47" s="23">
        <v>46119</v>
      </c>
      <c r="O47" s="24" t="str">
        <f>IF(O46&gt;0,"초과","미달")</f>
        <v>초과</v>
      </c>
      <c r="P47" s="51">
        <f>$P46/$J46</f>
        <v>1</v>
      </c>
      <c r="Q47" s="52" t="s">
        <v>139</v>
      </c>
      <c r="R47" s="52" t="s">
        <v>139</v>
      </c>
      <c r="S47" s="190"/>
      <c r="T47" s="190"/>
      <c r="U47" s="40" t="s">
        <v>14</v>
      </c>
      <c r="V47" s="135"/>
      <c r="W47" s="137"/>
      <c r="X47" s="41" t="s">
        <v>14</v>
      </c>
      <c r="Y47" s="40" t="s">
        <v>14</v>
      </c>
      <c r="Z47" s="135"/>
      <c r="AA47" s="137"/>
      <c r="AB47" s="41" t="s">
        <v>14</v>
      </c>
      <c r="AC47" s="71" t="str">
        <f>IFERROR(AC46-AB46,"-")</f>
        <v>-</v>
      </c>
      <c r="AD47" s="188"/>
      <c r="AE47" s="137"/>
      <c r="AF47" s="148"/>
      <c r="AG47" s="122"/>
      <c r="AH47" s="123"/>
      <c r="AI47" s="126"/>
      <c r="AJ47" s="127"/>
    </row>
    <row r="48" spans="2:36" s="46" customFormat="1" ht="32.1" customHeight="1" outlineLevel="1" x14ac:dyDescent="0.3">
      <c r="B48" s="134">
        <v>8</v>
      </c>
      <c r="C48" s="136" t="s">
        <v>131</v>
      </c>
      <c r="D48" s="136" t="s">
        <v>63</v>
      </c>
      <c r="E48" s="128" t="s">
        <v>144</v>
      </c>
      <c r="F48" s="136" t="s">
        <v>35</v>
      </c>
      <c r="G48" s="141" t="s">
        <v>145</v>
      </c>
      <c r="H48" s="143" t="s">
        <v>22</v>
      </c>
      <c r="I48" s="145">
        <v>0.85</v>
      </c>
      <c r="J48" s="136">
        <v>8</v>
      </c>
      <c r="K48" s="128" t="s">
        <v>146</v>
      </c>
      <c r="L48" s="130">
        <v>0.85</v>
      </c>
      <c r="M48" s="15">
        <v>0.91300000000000003</v>
      </c>
      <c r="N48" s="15">
        <f>IF((((($I48-$L48)/($AD48-$Z48))*($N49-$Z48))+$L48)&gt;0.85,$I48,((($I48-$L48)/($AD48-$Z48))*($N49-$Z48))+$L48)</f>
        <v>0.85</v>
      </c>
      <c r="O48" s="15">
        <f>M48-N48</f>
        <v>6.3000000000000056E-2</v>
      </c>
      <c r="P48" s="16">
        <v>8</v>
      </c>
      <c r="Q48" s="17" t="s">
        <v>139</v>
      </c>
      <c r="R48" s="17" t="s">
        <v>139</v>
      </c>
      <c r="S48" s="132" t="s">
        <v>14</v>
      </c>
      <c r="T48" s="132" t="s">
        <v>14</v>
      </c>
      <c r="U48" s="19" t="s">
        <v>14</v>
      </c>
      <c r="V48" s="158" t="s">
        <v>139</v>
      </c>
      <c r="W48" s="77" t="s">
        <v>139</v>
      </c>
      <c r="X48" s="78" t="s">
        <v>139</v>
      </c>
      <c r="Y48" s="79" t="s">
        <v>139</v>
      </c>
      <c r="Z48" s="138">
        <v>45454</v>
      </c>
      <c r="AA48" s="139">
        <v>46173</v>
      </c>
      <c r="AB48" s="57" t="s">
        <v>14</v>
      </c>
      <c r="AC48" s="57" t="s">
        <v>14</v>
      </c>
      <c r="AD48" s="139">
        <v>45455</v>
      </c>
      <c r="AE48" s="139">
        <v>46173</v>
      </c>
      <c r="AF48" s="147">
        <f ca="1">AD48-TODAY()</f>
        <v>-670</v>
      </c>
      <c r="AG48" s="120"/>
      <c r="AH48" s="121"/>
      <c r="AI48" s="163"/>
      <c r="AJ48" s="164"/>
    </row>
    <row r="49" spans="2:36" s="46" customFormat="1" ht="32.1" customHeight="1" outlineLevel="1" x14ac:dyDescent="0.3">
      <c r="B49" s="172"/>
      <c r="C49" s="157"/>
      <c r="D49" s="157"/>
      <c r="E49" s="157"/>
      <c r="F49" s="157"/>
      <c r="G49" s="173"/>
      <c r="H49" s="144"/>
      <c r="I49" s="146"/>
      <c r="J49" s="137"/>
      <c r="K49" s="129"/>
      <c r="L49" s="131"/>
      <c r="M49" s="22" t="s">
        <v>198</v>
      </c>
      <c r="N49" s="23">
        <v>46119</v>
      </c>
      <c r="O49" s="24" t="str">
        <f>IF(O48&gt;0,"초과","미달")</f>
        <v>초과</v>
      </c>
      <c r="P49" s="51">
        <f>$P48/$J48</f>
        <v>1</v>
      </c>
      <c r="Q49" s="52" t="s">
        <v>139</v>
      </c>
      <c r="R49" s="52" t="s">
        <v>139</v>
      </c>
      <c r="S49" s="133"/>
      <c r="T49" s="133"/>
      <c r="U49" s="25" t="s">
        <v>14</v>
      </c>
      <c r="V49" s="159"/>
      <c r="W49" s="66" t="s">
        <v>139</v>
      </c>
      <c r="X49" s="66" t="s">
        <v>139</v>
      </c>
      <c r="Y49" s="25" t="s">
        <v>139</v>
      </c>
      <c r="Z49" s="135"/>
      <c r="AA49" s="137"/>
      <c r="AB49" s="41" t="s">
        <v>14</v>
      </c>
      <c r="AC49" s="71" t="str">
        <f>IFERROR(AC48-AB48,"-")</f>
        <v>-</v>
      </c>
      <c r="AD49" s="188"/>
      <c r="AE49" s="137"/>
      <c r="AF49" s="148"/>
      <c r="AG49" s="122"/>
      <c r="AH49" s="123"/>
      <c r="AI49" s="165"/>
      <c r="AJ49" s="166"/>
    </row>
    <row r="50" spans="2:36" s="46" customFormat="1" ht="32.1" customHeight="1" outlineLevel="1" x14ac:dyDescent="0.3">
      <c r="B50" s="172"/>
      <c r="C50" s="157"/>
      <c r="D50" s="157"/>
      <c r="E50" s="157"/>
      <c r="F50" s="157"/>
      <c r="G50" s="173"/>
      <c r="H50" s="155" t="s">
        <v>23</v>
      </c>
      <c r="I50" s="156" t="s">
        <v>139</v>
      </c>
      <c r="J50" s="157" t="s">
        <v>139</v>
      </c>
      <c r="K50" s="157" t="s">
        <v>14</v>
      </c>
      <c r="L50" s="186" t="s">
        <v>139</v>
      </c>
      <c r="M50" s="15" t="s">
        <v>139</v>
      </c>
      <c r="N50" s="15" t="s">
        <v>139</v>
      </c>
      <c r="O50" s="15" t="s">
        <v>139</v>
      </c>
      <c r="P50" s="30" t="s">
        <v>139</v>
      </c>
      <c r="Q50" s="28" t="s">
        <v>14</v>
      </c>
      <c r="R50" s="28" t="s">
        <v>14</v>
      </c>
      <c r="S50" s="189" t="s">
        <v>14</v>
      </c>
      <c r="T50" s="189" t="s">
        <v>14</v>
      </c>
      <c r="U50" s="31" t="s">
        <v>14</v>
      </c>
      <c r="V50" s="134" t="s">
        <v>14</v>
      </c>
      <c r="W50" s="136" t="s">
        <v>14</v>
      </c>
      <c r="X50" s="27" t="s">
        <v>14</v>
      </c>
      <c r="Y50" s="32" t="s">
        <v>14</v>
      </c>
      <c r="Z50" s="138" t="s">
        <v>139</v>
      </c>
      <c r="AA50" s="139" t="s">
        <v>139</v>
      </c>
      <c r="AB50" s="57" t="s">
        <v>14</v>
      </c>
      <c r="AC50" s="57" t="s">
        <v>14</v>
      </c>
      <c r="AD50" s="139" t="s">
        <v>139</v>
      </c>
      <c r="AE50" s="139" t="s">
        <v>139</v>
      </c>
      <c r="AF50" s="147" t="s">
        <v>139</v>
      </c>
      <c r="AG50" s="195"/>
      <c r="AH50" s="196"/>
      <c r="AI50" s="198"/>
      <c r="AJ50" s="199"/>
    </row>
    <row r="51" spans="2:36" s="46" customFormat="1" ht="32.1" customHeight="1" outlineLevel="1" x14ac:dyDescent="0.3">
      <c r="B51" s="135"/>
      <c r="C51" s="137"/>
      <c r="D51" s="137"/>
      <c r="E51" s="137"/>
      <c r="F51" s="137"/>
      <c r="G51" s="142"/>
      <c r="H51" s="144"/>
      <c r="I51" s="146"/>
      <c r="J51" s="137"/>
      <c r="K51" s="137"/>
      <c r="L51" s="131"/>
      <c r="M51" s="22" t="s">
        <v>14</v>
      </c>
      <c r="N51" s="23" t="s">
        <v>139</v>
      </c>
      <c r="O51" s="24" t="s">
        <v>139</v>
      </c>
      <c r="P51" s="51" t="s">
        <v>139</v>
      </c>
      <c r="Q51" s="52" t="s">
        <v>139</v>
      </c>
      <c r="R51" s="52" t="s">
        <v>139</v>
      </c>
      <c r="S51" s="190"/>
      <c r="T51" s="190"/>
      <c r="U51" s="40" t="s">
        <v>14</v>
      </c>
      <c r="V51" s="135"/>
      <c r="W51" s="137"/>
      <c r="X51" s="41" t="s">
        <v>14</v>
      </c>
      <c r="Y51" s="40" t="s">
        <v>14</v>
      </c>
      <c r="Z51" s="135"/>
      <c r="AA51" s="137"/>
      <c r="AB51" s="41" t="s">
        <v>14</v>
      </c>
      <c r="AC51" s="71" t="str">
        <f>IFERROR(AC50-AB50,"-")</f>
        <v>-</v>
      </c>
      <c r="AD51" s="188"/>
      <c r="AE51" s="137"/>
      <c r="AF51" s="148"/>
      <c r="AG51" s="197"/>
      <c r="AH51" s="161"/>
      <c r="AI51" s="165"/>
      <c r="AJ51" s="166"/>
    </row>
    <row r="52" spans="2:36" s="46" customFormat="1" ht="32.1" customHeight="1" outlineLevel="1" x14ac:dyDescent="0.3">
      <c r="B52" s="134">
        <v>9</v>
      </c>
      <c r="C52" s="136" t="s">
        <v>47</v>
      </c>
      <c r="D52" s="136" t="s">
        <v>179</v>
      </c>
      <c r="E52" s="136" t="s">
        <v>142</v>
      </c>
      <c r="F52" s="136" t="s">
        <v>35</v>
      </c>
      <c r="G52" s="141" t="s">
        <v>180</v>
      </c>
      <c r="H52" s="143" t="s">
        <v>36</v>
      </c>
      <c r="I52" s="145">
        <v>0.9</v>
      </c>
      <c r="J52" s="136">
        <v>4</v>
      </c>
      <c r="K52" s="128" t="s">
        <v>181</v>
      </c>
      <c r="L52" s="130">
        <v>0.89700000000000002</v>
      </c>
      <c r="M52" s="15">
        <v>0.84899999999999998</v>
      </c>
      <c r="N52" s="108">
        <f>IF((((($I52-$L52)/($AD52-$Z52))*($N53-$Z52))+$L52)&gt;0.85,$I52,((($I52-$L52)/($AD52-$Z52))*($N53-$Z52))+$L52)</f>
        <v>0.9</v>
      </c>
      <c r="O52" s="15">
        <f>M52-N52</f>
        <v>-5.1000000000000045E-2</v>
      </c>
      <c r="P52" s="16">
        <v>4</v>
      </c>
      <c r="Q52" s="17" t="s">
        <v>14</v>
      </c>
      <c r="R52" s="18" t="s">
        <v>14</v>
      </c>
      <c r="S52" s="132">
        <v>57</v>
      </c>
      <c r="T52" s="132" t="s">
        <v>14</v>
      </c>
      <c r="U52" s="19">
        <v>61</v>
      </c>
      <c r="V52" s="134" t="s">
        <v>14</v>
      </c>
      <c r="W52" s="136" t="s">
        <v>14</v>
      </c>
      <c r="X52" s="20" t="s">
        <v>14</v>
      </c>
      <c r="Y52" s="21" t="s">
        <v>14</v>
      </c>
      <c r="Z52" s="138">
        <v>45999</v>
      </c>
      <c r="AA52" s="139">
        <v>47094</v>
      </c>
      <c r="AB52" s="107" t="s">
        <v>14</v>
      </c>
      <c r="AC52" s="107" t="s">
        <v>14</v>
      </c>
      <c r="AD52" s="139">
        <v>46730</v>
      </c>
      <c r="AE52" s="139">
        <v>47094</v>
      </c>
      <c r="AF52" s="147">
        <f ca="1">AD52-TODAY()</f>
        <v>605</v>
      </c>
      <c r="AG52" s="120" t="s">
        <v>250</v>
      </c>
      <c r="AH52" s="121"/>
      <c r="AI52" s="124" t="s">
        <v>182</v>
      </c>
      <c r="AJ52" s="125"/>
    </row>
    <row r="53" spans="2:36" s="46" customFormat="1" ht="32.1" customHeight="1" outlineLevel="1" x14ac:dyDescent="0.3">
      <c r="B53" s="135"/>
      <c r="C53" s="137"/>
      <c r="D53" s="137"/>
      <c r="E53" s="137"/>
      <c r="F53" s="137"/>
      <c r="G53" s="142"/>
      <c r="H53" s="144"/>
      <c r="I53" s="146"/>
      <c r="J53" s="137"/>
      <c r="K53" s="129"/>
      <c r="L53" s="131"/>
      <c r="M53" s="22" t="s">
        <v>198</v>
      </c>
      <c r="N53" s="23">
        <v>46119</v>
      </c>
      <c r="O53" s="24" t="str">
        <f>IF(O52&gt;0,"초과","미달")</f>
        <v>미달</v>
      </c>
      <c r="P53" s="51">
        <f>$P52/$J52</f>
        <v>1</v>
      </c>
      <c r="Q53" s="55" t="s">
        <v>14</v>
      </c>
      <c r="R53" s="55" t="s">
        <v>14</v>
      </c>
      <c r="S53" s="133"/>
      <c r="T53" s="133"/>
      <c r="U53" s="25"/>
      <c r="V53" s="135"/>
      <c r="W53" s="137"/>
      <c r="X53" s="26" t="s">
        <v>14</v>
      </c>
      <c r="Y53" s="25" t="s">
        <v>14</v>
      </c>
      <c r="Z53" s="135"/>
      <c r="AA53" s="137"/>
      <c r="AB53" s="115" t="s">
        <v>14</v>
      </c>
      <c r="AC53" s="116" t="str">
        <f>IFERROR(AC52-AB52,"-")</f>
        <v>-</v>
      </c>
      <c r="AD53" s="140"/>
      <c r="AE53" s="137"/>
      <c r="AF53" s="148"/>
      <c r="AG53" s="122"/>
      <c r="AH53" s="123"/>
      <c r="AI53" s="126"/>
      <c r="AJ53" s="127"/>
    </row>
    <row r="54" spans="2:36" s="46" customFormat="1" ht="81.75" customHeight="1" outlineLevel="1" x14ac:dyDescent="0.3">
      <c r="B54" s="172">
        <v>10</v>
      </c>
      <c r="C54" s="157" t="s">
        <v>68</v>
      </c>
      <c r="D54" s="157" t="s">
        <v>193</v>
      </c>
      <c r="E54" s="157" t="s">
        <v>194</v>
      </c>
      <c r="F54" s="157" t="s">
        <v>35</v>
      </c>
      <c r="G54" s="173" t="s">
        <v>195</v>
      </c>
      <c r="H54" s="155" t="s">
        <v>22</v>
      </c>
      <c r="I54" s="156">
        <v>0.85</v>
      </c>
      <c r="J54" s="157">
        <v>9</v>
      </c>
      <c r="K54" s="191" t="s">
        <v>196</v>
      </c>
      <c r="L54" s="186">
        <v>0.79400000000000004</v>
      </c>
      <c r="M54" s="49">
        <v>0.72599999999999998</v>
      </c>
      <c r="N54" s="110">
        <f>IF((((($I54-$L54)/($AD54-$Z54))*($N55-$Z54))+$L54)&gt;0.85,$I54,((($I54-$L54)/($AD54-$Z54))*($N55-$Z54))+$L54)</f>
        <v>0.80352537722908091</v>
      </c>
      <c r="O54" s="49">
        <f>M54-N54</f>
        <v>-7.7525377229080927E-2</v>
      </c>
      <c r="P54" s="30" t="s">
        <v>189</v>
      </c>
      <c r="Q54" s="50" t="s">
        <v>14</v>
      </c>
      <c r="R54" s="64" t="s">
        <v>14</v>
      </c>
      <c r="S54" s="200">
        <v>82</v>
      </c>
      <c r="T54" s="200">
        <v>59</v>
      </c>
      <c r="U54" s="31">
        <v>92</v>
      </c>
      <c r="V54" s="158">
        <v>97</v>
      </c>
      <c r="W54" s="77">
        <v>0</v>
      </c>
      <c r="X54" s="78">
        <f>($V54/($AA54-$Z54))*($N55-$Z54)</f>
        <v>10.994515539305302</v>
      </c>
      <c r="Y54" s="79">
        <f>IF((W54-X54)&lt;0,(X54-W54),(W54-X54))</f>
        <v>10.994515539305302</v>
      </c>
      <c r="Z54" s="187">
        <v>45995</v>
      </c>
      <c r="AA54" s="171">
        <v>47089</v>
      </c>
      <c r="AB54" s="109" t="s">
        <v>14</v>
      </c>
      <c r="AC54" s="109" t="s">
        <v>14</v>
      </c>
      <c r="AD54" s="171">
        <v>46724</v>
      </c>
      <c r="AE54" s="171">
        <v>47091</v>
      </c>
      <c r="AF54" s="149">
        <f ca="1">AD54-TODAY()</f>
        <v>599</v>
      </c>
      <c r="AG54" s="150" t="s">
        <v>197</v>
      </c>
      <c r="AH54" s="151"/>
      <c r="AI54" s="209"/>
      <c r="AJ54" s="210"/>
    </row>
    <row r="55" spans="2:36" s="46" customFormat="1" ht="32.1" customHeight="1" outlineLevel="1" thickBot="1" x14ac:dyDescent="0.35">
      <c r="B55" s="250"/>
      <c r="C55" s="248"/>
      <c r="D55" s="248"/>
      <c r="E55" s="248"/>
      <c r="F55" s="248"/>
      <c r="G55" s="262"/>
      <c r="H55" s="246"/>
      <c r="I55" s="247"/>
      <c r="J55" s="248"/>
      <c r="K55" s="274"/>
      <c r="L55" s="275"/>
      <c r="M55" s="88" t="s">
        <v>176</v>
      </c>
      <c r="N55" s="117">
        <v>46119</v>
      </c>
      <c r="O55" s="89" t="str">
        <f>IF(O54&gt;0,"초과","미달")</f>
        <v>미달</v>
      </c>
      <c r="P55" s="84" t="s">
        <v>189</v>
      </c>
      <c r="Q55" s="111" t="s">
        <v>14</v>
      </c>
      <c r="R55" s="111" t="s">
        <v>14</v>
      </c>
      <c r="S55" s="276"/>
      <c r="T55" s="276"/>
      <c r="U55" s="36" t="str">
        <f>IF((T54-U54)&lt;0,(U54-T54)&amp;"㎥"&amp;" "&amp;"미달",(T54-U54)&amp;"㎥"&amp;" "&amp;"초과")</f>
        <v>33㎥ 미달</v>
      </c>
      <c r="V55" s="277"/>
      <c r="W55" s="86">
        <f>$W54/$V54</f>
        <v>0</v>
      </c>
      <c r="X55" s="86">
        <f>X54/V54</f>
        <v>0.11334552102376601</v>
      </c>
      <c r="Y55" s="87" t="str">
        <f>IF((W54-X54)&lt;0,"미달","초과")</f>
        <v>미달</v>
      </c>
      <c r="Z55" s="250"/>
      <c r="AA55" s="248"/>
      <c r="AB55" s="113" t="s">
        <v>14</v>
      </c>
      <c r="AC55" s="114" t="str">
        <f>IFERROR(AC54-AB54,"-")</f>
        <v>-</v>
      </c>
      <c r="AD55" s="278"/>
      <c r="AE55" s="248"/>
      <c r="AF55" s="269"/>
      <c r="AG55" s="270"/>
      <c r="AH55" s="271"/>
      <c r="AI55" s="272"/>
      <c r="AJ55" s="273"/>
    </row>
    <row r="56" spans="2:36" s="45" customFormat="1" ht="37.5" customHeight="1" thickBot="1" x14ac:dyDescent="0.35">
      <c r="B56" s="211" t="s">
        <v>83</v>
      </c>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c r="AD56" s="212"/>
      <c r="AE56" s="212"/>
      <c r="AF56" s="212"/>
      <c r="AG56" s="212"/>
      <c r="AH56" s="212"/>
      <c r="AI56" s="212"/>
      <c r="AJ56" s="213"/>
    </row>
    <row r="57" spans="2:36" s="46" customFormat="1" ht="107.25" customHeight="1" outlineLevel="1" x14ac:dyDescent="0.3">
      <c r="B57" s="172">
        <v>1</v>
      </c>
      <c r="C57" s="157" t="s">
        <v>210</v>
      </c>
      <c r="D57" s="157" t="s">
        <v>38</v>
      </c>
      <c r="E57" s="157" t="s">
        <v>39</v>
      </c>
      <c r="F57" s="157" t="s">
        <v>40</v>
      </c>
      <c r="G57" s="173" t="s">
        <v>41</v>
      </c>
      <c r="H57" s="155" t="s">
        <v>22</v>
      </c>
      <c r="I57" s="156" t="s">
        <v>46</v>
      </c>
      <c r="J57" s="157">
        <v>52</v>
      </c>
      <c r="K57" s="191" t="s">
        <v>45</v>
      </c>
      <c r="L57" s="186" t="s">
        <v>14</v>
      </c>
      <c r="M57" s="49" t="s">
        <v>14</v>
      </c>
      <c r="N57" s="49" t="s">
        <v>14</v>
      </c>
      <c r="O57" s="49" t="s">
        <v>14</v>
      </c>
      <c r="P57" s="30">
        <v>46</v>
      </c>
      <c r="Q57" s="50">
        <v>6</v>
      </c>
      <c r="R57" s="50">
        <v>30</v>
      </c>
      <c r="S57" s="200">
        <v>2025</v>
      </c>
      <c r="T57" s="200">
        <v>1726</v>
      </c>
      <c r="U57" s="31">
        <v>1932</v>
      </c>
      <c r="V57" s="172" t="s">
        <v>14</v>
      </c>
      <c r="W57" s="157" t="s">
        <v>14</v>
      </c>
      <c r="X57" s="27" t="s">
        <v>14</v>
      </c>
      <c r="Y57" s="32" t="s">
        <v>14</v>
      </c>
      <c r="Z57" s="187">
        <v>45813</v>
      </c>
      <c r="AA57" s="171">
        <v>46907</v>
      </c>
      <c r="AB57" s="59" t="s">
        <v>95</v>
      </c>
      <c r="AC57" s="59" t="s">
        <v>95</v>
      </c>
      <c r="AD57" s="171">
        <v>46542</v>
      </c>
      <c r="AE57" s="171">
        <v>46907</v>
      </c>
      <c r="AF57" s="149">
        <f ca="1">AD57-TODAY()</f>
        <v>417</v>
      </c>
      <c r="AG57" s="150" t="s">
        <v>232</v>
      </c>
      <c r="AH57" s="151"/>
      <c r="AI57" s="214" t="s">
        <v>234</v>
      </c>
      <c r="AJ57" s="215"/>
    </row>
    <row r="58" spans="2:36" s="46" customFormat="1" ht="32.1" customHeight="1" outlineLevel="1" x14ac:dyDescent="0.3">
      <c r="B58" s="135"/>
      <c r="C58" s="137"/>
      <c r="D58" s="137"/>
      <c r="E58" s="137"/>
      <c r="F58" s="137"/>
      <c r="G58" s="142"/>
      <c r="H58" s="144"/>
      <c r="I58" s="146"/>
      <c r="J58" s="137"/>
      <c r="K58" s="129"/>
      <c r="L58" s="131"/>
      <c r="M58" s="22" t="s">
        <v>14</v>
      </c>
      <c r="N58" s="23" t="s">
        <v>90</v>
      </c>
      <c r="O58" s="24" t="s">
        <v>157</v>
      </c>
      <c r="P58" s="51">
        <f>$P57/$J57</f>
        <v>0.88461538461538458</v>
      </c>
      <c r="Q58" s="52">
        <f>$Q57/$J57</f>
        <v>0.11538461538461539</v>
      </c>
      <c r="R58" s="52">
        <f>$R57/$J57</f>
        <v>0.57692307692307687</v>
      </c>
      <c r="S58" s="133"/>
      <c r="T58" s="133"/>
      <c r="U58" s="25" t="str">
        <f>IF((T57-U57)&lt;0,(U57-T57)&amp;"㎥"&amp;" "&amp;"미달",(T57-U57)&amp;"㎥"&amp;" "&amp;"초과")</f>
        <v>206㎥ 미달</v>
      </c>
      <c r="V58" s="135"/>
      <c r="W58" s="137"/>
      <c r="X58" s="26" t="s">
        <v>14</v>
      </c>
      <c r="Y58" s="25" t="s">
        <v>14</v>
      </c>
      <c r="Z58" s="135"/>
      <c r="AA58" s="137"/>
      <c r="AB58" s="60" t="s">
        <v>14</v>
      </c>
      <c r="AC58" s="61" t="str">
        <f>IFERROR(AC57-AB57,"-")</f>
        <v>-</v>
      </c>
      <c r="AD58" s="140"/>
      <c r="AE58" s="137"/>
      <c r="AF58" s="148"/>
      <c r="AG58" s="122"/>
      <c r="AH58" s="123"/>
      <c r="AI58" s="126"/>
      <c r="AJ58" s="127"/>
    </row>
    <row r="59" spans="2:36" s="46" customFormat="1" ht="87" customHeight="1" outlineLevel="1" x14ac:dyDescent="0.3">
      <c r="B59" s="172">
        <v>2</v>
      </c>
      <c r="C59" s="157" t="s">
        <v>210</v>
      </c>
      <c r="D59" s="157" t="s">
        <v>42</v>
      </c>
      <c r="E59" s="157" t="s">
        <v>39</v>
      </c>
      <c r="F59" s="157" t="s">
        <v>40</v>
      </c>
      <c r="G59" s="173" t="s">
        <v>43</v>
      </c>
      <c r="H59" s="143" t="s">
        <v>22</v>
      </c>
      <c r="I59" s="145" t="s">
        <v>46</v>
      </c>
      <c r="J59" s="136">
        <v>43</v>
      </c>
      <c r="K59" s="128" t="s">
        <v>45</v>
      </c>
      <c r="L59" s="130" t="s">
        <v>14</v>
      </c>
      <c r="M59" s="15" t="s">
        <v>14</v>
      </c>
      <c r="N59" s="15" t="s">
        <v>14</v>
      </c>
      <c r="O59" s="15" t="s">
        <v>14</v>
      </c>
      <c r="P59" s="16">
        <v>37</v>
      </c>
      <c r="Q59" s="17">
        <v>3</v>
      </c>
      <c r="R59" s="17">
        <v>26</v>
      </c>
      <c r="S59" s="132">
        <v>576</v>
      </c>
      <c r="T59" s="132">
        <v>533</v>
      </c>
      <c r="U59" s="19">
        <v>740</v>
      </c>
      <c r="V59" s="134" t="s">
        <v>14</v>
      </c>
      <c r="W59" s="136" t="s">
        <v>14</v>
      </c>
      <c r="X59" s="20" t="s">
        <v>14</v>
      </c>
      <c r="Y59" s="21" t="s">
        <v>14</v>
      </c>
      <c r="Z59" s="138">
        <v>45813</v>
      </c>
      <c r="AA59" s="139">
        <v>46907</v>
      </c>
      <c r="AB59" s="59" t="s">
        <v>95</v>
      </c>
      <c r="AC59" s="59" t="s">
        <v>95</v>
      </c>
      <c r="AD59" s="139">
        <v>46542</v>
      </c>
      <c r="AE59" s="139">
        <v>46907</v>
      </c>
      <c r="AF59" s="147">
        <f ca="1">AD59-TODAY()</f>
        <v>417</v>
      </c>
      <c r="AG59" s="120" t="s">
        <v>233</v>
      </c>
      <c r="AH59" s="121"/>
      <c r="AI59" s="124" t="s">
        <v>235</v>
      </c>
      <c r="AJ59" s="125"/>
    </row>
    <row r="60" spans="2:36" s="46" customFormat="1" ht="32.1" customHeight="1" outlineLevel="1" x14ac:dyDescent="0.3">
      <c r="B60" s="135"/>
      <c r="C60" s="137"/>
      <c r="D60" s="137"/>
      <c r="E60" s="137"/>
      <c r="F60" s="137"/>
      <c r="G60" s="142"/>
      <c r="H60" s="144"/>
      <c r="I60" s="146"/>
      <c r="J60" s="137"/>
      <c r="K60" s="129"/>
      <c r="L60" s="131"/>
      <c r="M60" s="22" t="s">
        <v>14</v>
      </c>
      <c r="N60" s="23" t="s">
        <v>90</v>
      </c>
      <c r="O60" s="24" t="s">
        <v>157</v>
      </c>
      <c r="P60" s="51">
        <f>$P59/$J59</f>
        <v>0.86046511627906974</v>
      </c>
      <c r="Q60" s="52">
        <f>$Q59/$J59</f>
        <v>6.9767441860465115E-2</v>
      </c>
      <c r="R60" s="52">
        <f>IF(R59="-","-",R59/$J59)</f>
        <v>0.60465116279069764</v>
      </c>
      <c r="S60" s="133"/>
      <c r="T60" s="133"/>
      <c r="U60" s="40" t="str">
        <f>IF((T59-U59)&lt;0,(U59-T59)&amp;"㎥"&amp;" "&amp;"미달",(T59-U59)&amp;"㎥"&amp;" "&amp;"초과")</f>
        <v>207㎥ 미달</v>
      </c>
      <c r="V60" s="135"/>
      <c r="W60" s="137"/>
      <c r="X60" s="26" t="s">
        <v>14</v>
      </c>
      <c r="Y60" s="25" t="s">
        <v>14</v>
      </c>
      <c r="Z60" s="135"/>
      <c r="AA60" s="137"/>
      <c r="AB60" s="60" t="s">
        <v>14</v>
      </c>
      <c r="AC60" s="61" t="str">
        <f>IFERROR(AC59-AB59,"-")</f>
        <v>-</v>
      </c>
      <c r="AD60" s="140"/>
      <c r="AE60" s="137"/>
      <c r="AF60" s="148"/>
      <c r="AG60" s="122"/>
      <c r="AH60" s="123"/>
      <c r="AI60" s="126"/>
      <c r="AJ60" s="127"/>
    </row>
    <row r="61" spans="2:36" s="46" customFormat="1" ht="124.5" customHeight="1" outlineLevel="1" x14ac:dyDescent="0.3">
      <c r="B61" s="134">
        <v>3</v>
      </c>
      <c r="C61" s="136" t="s">
        <v>47</v>
      </c>
      <c r="D61" s="136" t="s">
        <v>66</v>
      </c>
      <c r="E61" s="136" t="s">
        <v>105</v>
      </c>
      <c r="F61" s="136" t="s">
        <v>40</v>
      </c>
      <c r="G61" s="141" t="s">
        <v>97</v>
      </c>
      <c r="H61" s="143" t="s">
        <v>22</v>
      </c>
      <c r="I61" s="145">
        <v>0.85</v>
      </c>
      <c r="J61" s="136">
        <v>10</v>
      </c>
      <c r="K61" s="128" t="s">
        <v>177</v>
      </c>
      <c r="L61" s="130">
        <v>0.88300000000000001</v>
      </c>
      <c r="M61" s="15">
        <v>0.878</v>
      </c>
      <c r="N61" s="15">
        <f>IF((((($I61-$L61)/($AD61-$Z61))*($N62-$Z61))+$L61)&gt;0.85,$I61,((($I61-$L61)/($AD61-$Z61))*($N62-$Z61))+$L61)</f>
        <v>0.84469909502262441</v>
      </c>
      <c r="O61" s="15">
        <f>M61-N61</f>
        <v>3.3300904977375589E-2</v>
      </c>
      <c r="P61" s="16">
        <v>10</v>
      </c>
      <c r="Q61" s="17">
        <v>0</v>
      </c>
      <c r="R61" s="17">
        <v>7</v>
      </c>
      <c r="S61" s="132" t="s">
        <v>14</v>
      </c>
      <c r="T61" s="132">
        <v>197</v>
      </c>
      <c r="U61" s="19">
        <v>171</v>
      </c>
      <c r="V61" s="158">
        <v>81</v>
      </c>
      <c r="W61" s="77">
        <v>63</v>
      </c>
      <c r="X61" s="78">
        <f>($V61/($AA61-$Z61))*($N62-$Z61)</f>
        <v>75.96526508226691</v>
      </c>
      <c r="Y61" s="79">
        <f>IF((W61-X61)&lt;0,(X61-W61),(W61-X61))</f>
        <v>12.96526508226691</v>
      </c>
      <c r="Z61" s="138">
        <v>45093</v>
      </c>
      <c r="AA61" s="139">
        <v>46187</v>
      </c>
      <c r="AB61" s="57" t="s">
        <v>96</v>
      </c>
      <c r="AC61" s="57" t="s">
        <v>96</v>
      </c>
      <c r="AD61" s="139">
        <v>45977</v>
      </c>
      <c r="AE61" s="139">
        <v>46157</v>
      </c>
      <c r="AF61" s="147">
        <f ca="1">AD61-TODAY()</f>
        <v>-148</v>
      </c>
      <c r="AG61" s="120" t="s">
        <v>228</v>
      </c>
      <c r="AH61" s="121"/>
      <c r="AI61" s="209"/>
      <c r="AJ61" s="210"/>
    </row>
    <row r="62" spans="2:36" s="46" customFormat="1" ht="80.099999999999994" customHeight="1" outlineLevel="1" x14ac:dyDescent="0.3">
      <c r="B62" s="172"/>
      <c r="C62" s="157"/>
      <c r="D62" s="157"/>
      <c r="E62" s="157"/>
      <c r="F62" s="157"/>
      <c r="G62" s="173"/>
      <c r="H62" s="144"/>
      <c r="I62" s="146"/>
      <c r="J62" s="137"/>
      <c r="K62" s="129"/>
      <c r="L62" s="131"/>
      <c r="M62" s="22" t="s">
        <v>215</v>
      </c>
      <c r="N62" s="23">
        <v>46119</v>
      </c>
      <c r="O62" s="24" t="str">
        <f>IF(O61&gt;0,"초과","미달")</f>
        <v>초과</v>
      </c>
      <c r="P62" s="51">
        <f>$P61/$J61</f>
        <v>1</v>
      </c>
      <c r="Q62" s="52">
        <f>$Q61/$J61</f>
        <v>0</v>
      </c>
      <c r="R62" s="52">
        <f>IF(R61="-","-",R61/$J61)</f>
        <v>0.7</v>
      </c>
      <c r="S62" s="133"/>
      <c r="T62" s="133"/>
      <c r="U62" s="40" t="str">
        <f>IF((T61-U61)&lt;0,(U61-T61)&amp;"㎥"&amp;" "&amp;"미달",(T61-U61)&amp;"㎥"&amp;" "&amp;"초과")</f>
        <v>26㎥ 초과</v>
      </c>
      <c r="V62" s="159"/>
      <c r="W62" s="66">
        <f>$W61/$V61</f>
        <v>0.77777777777777779</v>
      </c>
      <c r="X62" s="66">
        <f>X61/V61</f>
        <v>0.9378427787934186</v>
      </c>
      <c r="Y62" s="25" t="str">
        <f>IF((W61-X61)&lt;0,"미달","초과")</f>
        <v>미달</v>
      </c>
      <c r="Z62" s="135"/>
      <c r="AA62" s="137"/>
      <c r="AB62" s="41" t="s">
        <v>14</v>
      </c>
      <c r="AC62" s="63" t="str">
        <f>IFERROR(AC61-AB61,"-")</f>
        <v>-</v>
      </c>
      <c r="AD62" s="188"/>
      <c r="AE62" s="137"/>
      <c r="AF62" s="148"/>
      <c r="AG62" s="122"/>
      <c r="AH62" s="123"/>
      <c r="AI62" s="126"/>
      <c r="AJ62" s="127"/>
    </row>
    <row r="63" spans="2:36" s="46" customFormat="1" ht="24.95" customHeight="1" outlineLevel="1" x14ac:dyDescent="0.3">
      <c r="B63" s="172"/>
      <c r="C63" s="157"/>
      <c r="D63" s="157"/>
      <c r="E63" s="157"/>
      <c r="F63" s="157"/>
      <c r="G63" s="173"/>
      <c r="H63" s="155" t="s">
        <v>23</v>
      </c>
      <c r="I63" s="156" t="s">
        <v>14</v>
      </c>
      <c r="J63" s="157" t="s">
        <v>14</v>
      </c>
      <c r="K63" s="157" t="s">
        <v>14</v>
      </c>
      <c r="L63" s="157" t="s">
        <v>14</v>
      </c>
      <c r="M63" s="27" t="s">
        <v>14</v>
      </c>
      <c r="N63" s="28" t="s">
        <v>14</v>
      </c>
      <c r="O63" s="29" t="s">
        <v>14</v>
      </c>
      <c r="P63" s="30" t="s">
        <v>14</v>
      </c>
      <c r="Q63" s="28" t="s">
        <v>14</v>
      </c>
      <c r="R63" s="28" t="s">
        <v>14</v>
      </c>
      <c r="S63" s="189" t="s">
        <v>14</v>
      </c>
      <c r="T63" s="189" t="s">
        <v>14</v>
      </c>
      <c r="U63" s="31" t="s">
        <v>14</v>
      </c>
      <c r="V63" s="134" t="s">
        <v>14</v>
      </c>
      <c r="W63" s="136" t="s">
        <v>14</v>
      </c>
      <c r="X63" s="27" t="s">
        <v>14</v>
      </c>
      <c r="Y63" s="32" t="s">
        <v>14</v>
      </c>
      <c r="Z63" s="134" t="s">
        <v>14</v>
      </c>
      <c r="AA63" s="136" t="s">
        <v>14</v>
      </c>
      <c r="AB63" s="62" t="s">
        <v>14</v>
      </c>
      <c r="AC63" s="62" t="s">
        <v>14</v>
      </c>
      <c r="AD63" s="192" t="s">
        <v>14</v>
      </c>
      <c r="AE63" s="136" t="s">
        <v>14</v>
      </c>
      <c r="AF63" s="193" t="s">
        <v>14</v>
      </c>
      <c r="AG63" s="195"/>
      <c r="AH63" s="196"/>
      <c r="AI63" s="198"/>
      <c r="AJ63" s="199"/>
    </row>
    <row r="64" spans="2:36" s="46" customFormat="1" ht="24.95" customHeight="1" outlineLevel="1" x14ac:dyDescent="0.3">
      <c r="B64" s="135"/>
      <c r="C64" s="137"/>
      <c r="D64" s="137"/>
      <c r="E64" s="137"/>
      <c r="F64" s="137"/>
      <c r="G64" s="142"/>
      <c r="H64" s="144"/>
      <c r="I64" s="146"/>
      <c r="J64" s="137"/>
      <c r="K64" s="137"/>
      <c r="L64" s="137"/>
      <c r="M64" s="72" t="s">
        <v>14</v>
      </c>
      <c r="N64" s="73" t="s">
        <v>14</v>
      </c>
      <c r="O64" s="74" t="s">
        <v>14</v>
      </c>
      <c r="P64" s="75" t="s">
        <v>14</v>
      </c>
      <c r="Q64" s="58" t="s">
        <v>14</v>
      </c>
      <c r="R64" s="58" t="s">
        <v>14</v>
      </c>
      <c r="S64" s="190"/>
      <c r="T64" s="190"/>
      <c r="U64" s="40" t="s">
        <v>14</v>
      </c>
      <c r="V64" s="135"/>
      <c r="W64" s="137"/>
      <c r="X64" s="41" t="s">
        <v>14</v>
      </c>
      <c r="Y64" s="40" t="s">
        <v>14</v>
      </c>
      <c r="Z64" s="135"/>
      <c r="AA64" s="137"/>
      <c r="AB64" s="41" t="s">
        <v>14</v>
      </c>
      <c r="AC64" s="58" t="s">
        <v>14</v>
      </c>
      <c r="AD64" s="161"/>
      <c r="AE64" s="137"/>
      <c r="AF64" s="194"/>
      <c r="AG64" s="197"/>
      <c r="AH64" s="161"/>
      <c r="AI64" s="165"/>
      <c r="AJ64" s="166"/>
    </row>
    <row r="65" spans="2:36" s="46" customFormat="1" ht="24.95" customHeight="1" outlineLevel="1" x14ac:dyDescent="0.3">
      <c r="B65" s="134">
        <v>4</v>
      </c>
      <c r="C65" s="136" t="s">
        <v>47</v>
      </c>
      <c r="D65" s="136" t="s">
        <v>67</v>
      </c>
      <c r="E65" s="136" t="s">
        <v>12</v>
      </c>
      <c r="F65" s="136" t="s">
        <v>40</v>
      </c>
      <c r="G65" s="141" t="s">
        <v>122</v>
      </c>
      <c r="H65" s="143" t="s">
        <v>22</v>
      </c>
      <c r="I65" s="145" t="s">
        <v>123</v>
      </c>
      <c r="J65" s="136" t="s">
        <v>123</v>
      </c>
      <c r="K65" s="128" t="s">
        <v>123</v>
      </c>
      <c r="L65" s="130" t="s">
        <v>123</v>
      </c>
      <c r="M65" s="15" t="s">
        <v>123</v>
      </c>
      <c r="N65" s="130" t="s">
        <v>123</v>
      </c>
      <c r="O65" s="167" t="s">
        <v>123</v>
      </c>
      <c r="P65" s="30" t="s">
        <v>123</v>
      </c>
      <c r="Q65" s="50" t="s">
        <v>123</v>
      </c>
      <c r="R65" s="50" t="s">
        <v>123</v>
      </c>
      <c r="S65" s="200" t="s">
        <v>14</v>
      </c>
      <c r="T65" s="200" t="s">
        <v>123</v>
      </c>
      <c r="U65" s="31" t="s">
        <v>123</v>
      </c>
      <c r="V65" s="201" t="s">
        <v>123</v>
      </c>
      <c r="W65" s="169" t="s">
        <v>123</v>
      </c>
      <c r="X65" s="68" t="s">
        <v>123</v>
      </c>
      <c r="Y65" s="69" t="s">
        <v>123</v>
      </c>
      <c r="Z65" s="187" t="s">
        <v>123</v>
      </c>
      <c r="AA65" s="171" t="s">
        <v>123</v>
      </c>
      <c r="AB65" s="65" t="s">
        <v>14</v>
      </c>
      <c r="AC65" s="65" t="s">
        <v>14</v>
      </c>
      <c r="AD65" s="171" t="s">
        <v>139</v>
      </c>
      <c r="AE65" s="171" t="s">
        <v>139</v>
      </c>
      <c r="AF65" s="149" t="s">
        <v>123</v>
      </c>
      <c r="AG65" s="150"/>
      <c r="AH65" s="151"/>
      <c r="AI65" s="124" t="s">
        <v>248</v>
      </c>
      <c r="AJ65" s="152"/>
    </row>
    <row r="66" spans="2:36" s="46" customFormat="1" ht="125.25" customHeight="1" outlineLevel="1" x14ac:dyDescent="0.3">
      <c r="B66" s="172"/>
      <c r="C66" s="157"/>
      <c r="D66" s="157"/>
      <c r="E66" s="157"/>
      <c r="F66" s="157"/>
      <c r="G66" s="173"/>
      <c r="H66" s="144"/>
      <c r="I66" s="146"/>
      <c r="J66" s="137"/>
      <c r="K66" s="129"/>
      <c r="L66" s="131"/>
      <c r="M66" s="22" t="s">
        <v>123</v>
      </c>
      <c r="N66" s="131"/>
      <c r="O66" s="168"/>
      <c r="P66" s="51" t="s">
        <v>123</v>
      </c>
      <c r="Q66" s="52" t="s">
        <v>123</v>
      </c>
      <c r="R66" s="52" t="s">
        <v>123</v>
      </c>
      <c r="S66" s="133"/>
      <c r="T66" s="133"/>
      <c r="U66" s="40" t="s">
        <v>123</v>
      </c>
      <c r="V66" s="159"/>
      <c r="W66" s="170"/>
      <c r="X66" s="66" t="s">
        <v>123</v>
      </c>
      <c r="Y66" s="25" t="s">
        <v>123</v>
      </c>
      <c r="Z66" s="135"/>
      <c r="AA66" s="137"/>
      <c r="AB66" s="41" t="s">
        <v>14</v>
      </c>
      <c r="AC66" s="63" t="str">
        <f>IFERROR(AC65-AB65,"-")</f>
        <v>-</v>
      </c>
      <c r="AD66" s="188"/>
      <c r="AE66" s="137"/>
      <c r="AF66" s="148"/>
      <c r="AG66" s="122"/>
      <c r="AH66" s="123"/>
      <c r="AI66" s="153"/>
      <c r="AJ66" s="154"/>
    </row>
    <row r="67" spans="2:36" s="46" customFormat="1" ht="24.95" customHeight="1" outlineLevel="1" x14ac:dyDescent="0.3">
      <c r="B67" s="172"/>
      <c r="C67" s="157"/>
      <c r="D67" s="157"/>
      <c r="E67" s="157"/>
      <c r="F67" s="157"/>
      <c r="G67" s="173"/>
      <c r="H67" s="155" t="s">
        <v>23</v>
      </c>
      <c r="I67" s="156" t="s">
        <v>46</v>
      </c>
      <c r="J67" s="157">
        <v>12</v>
      </c>
      <c r="K67" s="157" t="s">
        <v>124</v>
      </c>
      <c r="L67" s="157" t="s">
        <v>46</v>
      </c>
      <c r="M67" s="27" t="s">
        <v>14</v>
      </c>
      <c r="N67" s="136" t="s">
        <v>123</v>
      </c>
      <c r="O67" s="167" t="s">
        <v>123</v>
      </c>
      <c r="P67" s="30">
        <v>12</v>
      </c>
      <c r="Q67" s="50" t="s">
        <v>123</v>
      </c>
      <c r="R67" s="50" t="s">
        <v>123</v>
      </c>
      <c r="S67" s="132">
        <v>225</v>
      </c>
      <c r="T67" s="132">
        <v>169</v>
      </c>
      <c r="U67" s="19">
        <v>273</v>
      </c>
      <c r="V67" s="158">
        <v>209</v>
      </c>
      <c r="W67" s="77">
        <v>209</v>
      </c>
      <c r="X67" s="78">
        <f ca="1">($V67/($AA67-$Z67))*(TODAY()-$Z67)</f>
        <v>203.42046718576196</v>
      </c>
      <c r="Y67" s="79">
        <f ca="1">IF((W67-X67)&lt;0,(X67-W67),(W67-X67))</f>
        <v>5.5795328142380356</v>
      </c>
      <c r="Z67" s="138">
        <v>45250</v>
      </c>
      <c r="AA67" s="139">
        <v>46149</v>
      </c>
      <c r="AB67" s="62" t="s">
        <v>14</v>
      </c>
      <c r="AC67" s="62" t="s">
        <v>14</v>
      </c>
      <c r="AD67" s="160">
        <v>45968</v>
      </c>
      <c r="AE67" s="139">
        <v>46088</v>
      </c>
      <c r="AF67" s="147">
        <f ca="1">AD67-TODAY()</f>
        <v>-157</v>
      </c>
      <c r="AG67" s="162" t="s">
        <v>247</v>
      </c>
      <c r="AH67" s="121"/>
      <c r="AI67" s="163"/>
      <c r="AJ67" s="164"/>
    </row>
    <row r="68" spans="2:36" s="46" customFormat="1" ht="24.95" customHeight="1" outlineLevel="1" x14ac:dyDescent="0.3">
      <c r="B68" s="135"/>
      <c r="C68" s="137"/>
      <c r="D68" s="137"/>
      <c r="E68" s="137"/>
      <c r="F68" s="137"/>
      <c r="G68" s="142"/>
      <c r="H68" s="144"/>
      <c r="I68" s="146"/>
      <c r="J68" s="137"/>
      <c r="K68" s="137"/>
      <c r="L68" s="137"/>
      <c r="M68" s="72" t="s">
        <v>14</v>
      </c>
      <c r="N68" s="137"/>
      <c r="O68" s="168"/>
      <c r="P68" s="51">
        <f>$P67/$J67</f>
        <v>1</v>
      </c>
      <c r="Q68" s="52" t="s">
        <v>123</v>
      </c>
      <c r="R68" s="52" t="s">
        <v>123</v>
      </c>
      <c r="S68" s="133"/>
      <c r="T68" s="133"/>
      <c r="U68" s="40" t="str">
        <f>IF((T67-U67)&lt;0,(U67-T67)&amp;"㎥"&amp;" "&amp;"미달",(T67-U67)&amp;"㎥"&amp;" "&amp;"초과")</f>
        <v>104㎥ 미달</v>
      </c>
      <c r="V68" s="159"/>
      <c r="W68" s="66">
        <f>$W67/$V67</f>
        <v>1</v>
      </c>
      <c r="X68" s="66">
        <f ca="1">X67/V67</f>
        <v>0.97330367074527258</v>
      </c>
      <c r="Y68" s="25" t="str">
        <f ca="1">IF((W67-X67)&lt;0,"미달","초과")</f>
        <v>초과</v>
      </c>
      <c r="Z68" s="135"/>
      <c r="AA68" s="137"/>
      <c r="AB68" s="41" t="s">
        <v>14</v>
      </c>
      <c r="AC68" s="58" t="s">
        <v>14</v>
      </c>
      <c r="AD68" s="161"/>
      <c r="AE68" s="137"/>
      <c r="AF68" s="148"/>
      <c r="AG68" s="122"/>
      <c r="AH68" s="123"/>
      <c r="AI68" s="165"/>
      <c r="AJ68" s="166"/>
    </row>
    <row r="69" spans="2:36" s="46" customFormat="1" ht="24.95" customHeight="1" outlineLevel="1" x14ac:dyDescent="0.3">
      <c r="B69" s="134">
        <v>5</v>
      </c>
      <c r="C69" s="136" t="s">
        <v>68</v>
      </c>
      <c r="D69" s="136" t="s">
        <v>69</v>
      </c>
      <c r="E69" s="128" t="s">
        <v>125</v>
      </c>
      <c r="F69" s="136" t="s">
        <v>40</v>
      </c>
      <c r="G69" s="141" t="s">
        <v>126</v>
      </c>
      <c r="H69" s="143" t="s">
        <v>22</v>
      </c>
      <c r="I69" s="145" t="s">
        <v>14</v>
      </c>
      <c r="J69" s="136" t="s">
        <v>14</v>
      </c>
      <c r="K69" s="128" t="s">
        <v>14</v>
      </c>
      <c r="L69" s="130" t="s">
        <v>14</v>
      </c>
      <c r="M69" s="15" t="s">
        <v>14</v>
      </c>
      <c r="N69" s="130" t="s">
        <v>14</v>
      </c>
      <c r="O69" s="167" t="s">
        <v>14</v>
      </c>
      <c r="P69" s="16" t="s">
        <v>14</v>
      </c>
      <c r="Q69" s="17" t="s">
        <v>14</v>
      </c>
      <c r="R69" s="17" t="s">
        <v>14</v>
      </c>
      <c r="S69" s="132" t="s">
        <v>14</v>
      </c>
      <c r="T69" s="132" t="s">
        <v>14</v>
      </c>
      <c r="U69" s="19" t="s">
        <v>14</v>
      </c>
      <c r="V69" s="158" t="s">
        <v>14</v>
      </c>
      <c r="W69" s="169" t="s">
        <v>14</v>
      </c>
      <c r="X69" s="78" t="s">
        <v>14</v>
      </c>
      <c r="Y69" s="79" t="s">
        <v>14</v>
      </c>
      <c r="Z69" s="138" t="s">
        <v>14</v>
      </c>
      <c r="AA69" s="139" t="s">
        <v>14</v>
      </c>
      <c r="AB69" s="57" t="s">
        <v>14</v>
      </c>
      <c r="AC69" s="57" t="s">
        <v>14</v>
      </c>
      <c r="AD69" s="139">
        <v>45977</v>
      </c>
      <c r="AE69" s="139">
        <v>46157</v>
      </c>
      <c r="AF69" s="147" t="s">
        <v>14</v>
      </c>
      <c r="AG69" s="120"/>
      <c r="AH69" s="121"/>
      <c r="AI69" s="163"/>
      <c r="AJ69" s="164"/>
    </row>
    <row r="70" spans="2:36" s="46" customFormat="1" ht="24.95" customHeight="1" outlineLevel="1" x14ac:dyDescent="0.3">
      <c r="B70" s="172"/>
      <c r="C70" s="157"/>
      <c r="D70" s="157"/>
      <c r="E70" s="157"/>
      <c r="F70" s="157"/>
      <c r="G70" s="173"/>
      <c r="H70" s="144"/>
      <c r="I70" s="146"/>
      <c r="J70" s="137"/>
      <c r="K70" s="129"/>
      <c r="L70" s="131"/>
      <c r="M70" s="22" t="s">
        <v>14</v>
      </c>
      <c r="N70" s="131"/>
      <c r="O70" s="168"/>
      <c r="P70" s="51" t="s">
        <v>14</v>
      </c>
      <c r="Q70" s="52" t="s">
        <v>14</v>
      </c>
      <c r="R70" s="52" t="s">
        <v>14</v>
      </c>
      <c r="S70" s="133"/>
      <c r="T70" s="133"/>
      <c r="U70" s="40" t="s">
        <v>14</v>
      </c>
      <c r="V70" s="159"/>
      <c r="W70" s="170"/>
      <c r="X70" s="66" t="s">
        <v>14</v>
      </c>
      <c r="Y70" s="25" t="s">
        <v>14</v>
      </c>
      <c r="Z70" s="135"/>
      <c r="AA70" s="137"/>
      <c r="AB70" s="41" t="s">
        <v>14</v>
      </c>
      <c r="AC70" s="63" t="str">
        <f>IFERROR(AC69-AB69,"-")</f>
        <v>-</v>
      </c>
      <c r="AD70" s="188"/>
      <c r="AE70" s="137"/>
      <c r="AF70" s="148"/>
      <c r="AG70" s="122"/>
      <c r="AH70" s="123"/>
      <c r="AI70" s="165"/>
      <c r="AJ70" s="166"/>
    </row>
    <row r="71" spans="2:36" s="46" customFormat="1" ht="167.25" customHeight="1" outlineLevel="1" x14ac:dyDescent="0.3">
      <c r="B71" s="172"/>
      <c r="C71" s="157"/>
      <c r="D71" s="157"/>
      <c r="E71" s="157"/>
      <c r="F71" s="157"/>
      <c r="G71" s="173"/>
      <c r="H71" s="155" t="s">
        <v>36</v>
      </c>
      <c r="I71" s="156">
        <v>0.83</v>
      </c>
      <c r="J71" s="157">
        <v>27</v>
      </c>
      <c r="K71" s="157" t="s">
        <v>166</v>
      </c>
      <c r="L71" s="186">
        <v>0.70799999999999996</v>
      </c>
      <c r="M71" s="100">
        <v>0.80700000000000005</v>
      </c>
      <c r="N71" s="49">
        <f>IF((((($I71-$L71)/($AD71-$Z71))*($N72-$Z71))+$L71)&gt;0.85,$I71,((($I71-$L71)/($AD71-$Z71))*($N72-$Z71))+$L71)</f>
        <v>0.81790082644628093</v>
      </c>
      <c r="O71" s="49">
        <f>M71-N71</f>
        <v>-1.0900826446280876E-2</v>
      </c>
      <c r="P71" s="16">
        <v>27</v>
      </c>
      <c r="Q71" s="17">
        <v>3</v>
      </c>
      <c r="R71" s="17">
        <v>5</v>
      </c>
      <c r="S71" s="132">
        <v>798</v>
      </c>
      <c r="T71" s="132">
        <v>495</v>
      </c>
      <c r="U71" s="19">
        <v>644</v>
      </c>
      <c r="V71" s="158">
        <v>200</v>
      </c>
      <c r="W71" s="77">
        <v>100</v>
      </c>
      <c r="X71" s="78">
        <f ca="1">($V71/($AA71-$Z71))*(TODAY()-$Z71)</f>
        <v>124.79108635097494</v>
      </c>
      <c r="Y71" s="79">
        <f ca="1">IF((W71-X71)&lt;0,(X71-W71),(W71-X71))</f>
        <v>24.791086350974936</v>
      </c>
      <c r="Z71" s="138">
        <v>45901</v>
      </c>
      <c r="AA71" s="139">
        <v>46260</v>
      </c>
      <c r="AB71" s="62" t="s">
        <v>14</v>
      </c>
      <c r="AC71" s="62" t="s">
        <v>14</v>
      </c>
      <c r="AD71" s="160">
        <v>46143</v>
      </c>
      <c r="AE71" s="139">
        <v>46234</v>
      </c>
      <c r="AF71" s="147">
        <f ca="1">AD71-TODAY()</f>
        <v>18</v>
      </c>
      <c r="AG71" s="150" t="s">
        <v>220</v>
      </c>
      <c r="AH71" s="151"/>
      <c r="AI71" s="209" t="s">
        <v>221</v>
      </c>
      <c r="AJ71" s="210"/>
    </row>
    <row r="72" spans="2:36" s="46" customFormat="1" ht="24.95" customHeight="1" outlineLevel="1" x14ac:dyDescent="0.3">
      <c r="B72" s="135"/>
      <c r="C72" s="137"/>
      <c r="D72" s="137"/>
      <c r="E72" s="137"/>
      <c r="F72" s="137"/>
      <c r="G72" s="142"/>
      <c r="H72" s="144"/>
      <c r="I72" s="146"/>
      <c r="J72" s="137"/>
      <c r="K72" s="137"/>
      <c r="L72" s="131"/>
      <c r="M72" s="72" t="s">
        <v>198</v>
      </c>
      <c r="N72" s="23">
        <v>46119</v>
      </c>
      <c r="O72" s="24" t="str">
        <f>IF(O71&gt;0,"초과","미달")</f>
        <v>미달</v>
      </c>
      <c r="P72" s="51">
        <f>$P71/$J71</f>
        <v>1</v>
      </c>
      <c r="Q72" s="52">
        <f>$Q71/$J71</f>
        <v>0.1111111111111111</v>
      </c>
      <c r="R72" s="52">
        <f>IF(R71="-","-",R71/$J71)</f>
        <v>0.18518518518518517</v>
      </c>
      <c r="S72" s="133"/>
      <c r="T72" s="133"/>
      <c r="U72" s="40" t="str">
        <f>IF((T71-U71)&lt;0,(U71-T71)&amp;"㎥"&amp;" "&amp;"미달",(T71-U71)&amp;"㎥"&amp;" "&amp;"초과")</f>
        <v>149㎥ 미달</v>
      </c>
      <c r="V72" s="159"/>
      <c r="W72" s="66">
        <f>$W71/$V71</f>
        <v>0.5</v>
      </c>
      <c r="X72" s="66">
        <f ca="1">X71/V71</f>
        <v>0.62395543175487467</v>
      </c>
      <c r="Y72" s="25" t="str">
        <f ca="1">IF((W71-X71)&lt;0,"미달","초과")</f>
        <v>미달</v>
      </c>
      <c r="Z72" s="135"/>
      <c r="AA72" s="137"/>
      <c r="AB72" s="41" t="s">
        <v>14</v>
      </c>
      <c r="AC72" s="58" t="s">
        <v>14</v>
      </c>
      <c r="AD72" s="161"/>
      <c r="AE72" s="137"/>
      <c r="AF72" s="148"/>
      <c r="AG72" s="122"/>
      <c r="AH72" s="123"/>
      <c r="AI72" s="126"/>
      <c r="AJ72" s="127"/>
    </row>
    <row r="73" spans="2:36" s="46" customFormat="1" ht="24.95" customHeight="1" outlineLevel="1" x14ac:dyDescent="0.3">
      <c r="B73" s="134">
        <v>6</v>
      </c>
      <c r="C73" s="136" t="s">
        <v>47</v>
      </c>
      <c r="D73" s="136" t="s">
        <v>132</v>
      </c>
      <c r="E73" s="128" t="s">
        <v>50</v>
      </c>
      <c r="F73" s="136" t="s">
        <v>40</v>
      </c>
      <c r="G73" s="141" t="s">
        <v>203</v>
      </c>
      <c r="H73" s="143" t="s">
        <v>22</v>
      </c>
      <c r="I73" s="145">
        <v>0.8</v>
      </c>
      <c r="J73" s="136">
        <v>92</v>
      </c>
      <c r="K73" s="128" t="s">
        <v>165</v>
      </c>
      <c r="L73" s="130">
        <v>0.74399999999999999</v>
      </c>
      <c r="M73" s="15">
        <v>0.76600000000000001</v>
      </c>
      <c r="N73" s="15">
        <f>IF((((($I73-$L73)/($AD73-$Z73))*($N74-$Z73))+$L73)&gt;0.85,$I73,((($I73-$L73)/($AD73-$Z73))*($N74-$Z73))+$L73)</f>
        <v>0.76278709677419354</v>
      </c>
      <c r="O73" s="15">
        <f>M73-N73</f>
        <v>3.2129032258064738E-3</v>
      </c>
      <c r="P73" s="16">
        <v>92</v>
      </c>
      <c r="Q73" s="17">
        <v>9</v>
      </c>
      <c r="R73" s="17">
        <v>15</v>
      </c>
      <c r="S73" s="132" t="s">
        <v>14</v>
      </c>
      <c r="T73" s="132" t="s">
        <v>14</v>
      </c>
      <c r="U73" s="19" t="s">
        <v>14</v>
      </c>
      <c r="V73" s="158">
        <v>858</v>
      </c>
      <c r="W73" s="77">
        <v>185</v>
      </c>
      <c r="X73" s="78">
        <v>32</v>
      </c>
      <c r="Y73" s="79">
        <f>IF((W73-X73)&lt;0,(X73-W73),(W73-X73))</f>
        <v>153</v>
      </c>
      <c r="Z73" s="138">
        <v>45807</v>
      </c>
      <c r="AA73" s="139">
        <v>46856</v>
      </c>
      <c r="AB73" s="57" t="s">
        <v>14</v>
      </c>
      <c r="AC73" s="57" t="s">
        <v>14</v>
      </c>
      <c r="AD73" s="139">
        <v>46737</v>
      </c>
      <c r="AE73" s="139">
        <v>46827</v>
      </c>
      <c r="AF73" s="147">
        <f ca="1">AD73-TODAY()</f>
        <v>612</v>
      </c>
      <c r="AG73" s="120"/>
      <c r="AH73" s="121"/>
      <c r="AI73" s="163"/>
      <c r="AJ73" s="164"/>
    </row>
    <row r="74" spans="2:36" s="46" customFormat="1" ht="24.95" customHeight="1" outlineLevel="1" x14ac:dyDescent="0.3">
      <c r="B74" s="172"/>
      <c r="C74" s="157"/>
      <c r="D74" s="157"/>
      <c r="E74" s="157"/>
      <c r="F74" s="157"/>
      <c r="G74" s="173"/>
      <c r="H74" s="144"/>
      <c r="I74" s="146"/>
      <c r="J74" s="137"/>
      <c r="K74" s="129"/>
      <c r="L74" s="131"/>
      <c r="M74" s="22" t="s">
        <v>198</v>
      </c>
      <c r="N74" s="23">
        <v>46119</v>
      </c>
      <c r="O74" s="24" t="str">
        <f>IF(O73&gt;0,"초과","미달")</f>
        <v>초과</v>
      </c>
      <c r="P74" s="51">
        <f>$P73/$J73</f>
        <v>1</v>
      </c>
      <c r="Q74" s="52">
        <f>$Q73/$J73</f>
        <v>9.7826086956521743E-2</v>
      </c>
      <c r="R74" s="52">
        <f>IF(R73="-","-",R73/$J73)</f>
        <v>0.16304347826086957</v>
      </c>
      <c r="S74" s="133"/>
      <c r="T74" s="133"/>
      <c r="U74" s="40" t="s">
        <v>14</v>
      </c>
      <c r="V74" s="159"/>
      <c r="W74" s="66">
        <f>$W73/$V73</f>
        <v>0.21561771561771562</v>
      </c>
      <c r="X74" s="66">
        <f>X73/V73</f>
        <v>3.7296037296037296E-2</v>
      </c>
      <c r="Y74" s="25" t="str">
        <f>IF((W73-X73)&lt;0,"미달","초과")</f>
        <v>초과</v>
      </c>
      <c r="Z74" s="135"/>
      <c r="AA74" s="137"/>
      <c r="AB74" s="41" t="s">
        <v>14</v>
      </c>
      <c r="AC74" s="63" t="str">
        <f>IFERROR(AC73-AB73,"-")</f>
        <v>-</v>
      </c>
      <c r="AD74" s="188"/>
      <c r="AE74" s="137"/>
      <c r="AF74" s="148"/>
      <c r="AG74" s="122"/>
      <c r="AH74" s="123"/>
      <c r="AI74" s="165"/>
      <c r="AJ74" s="166"/>
    </row>
    <row r="75" spans="2:36" s="46" customFormat="1" ht="24.95" customHeight="1" outlineLevel="1" x14ac:dyDescent="0.3">
      <c r="B75" s="172"/>
      <c r="C75" s="157"/>
      <c r="D75" s="157"/>
      <c r="E75" s="157"/>
      <c r="F75" s="157"/>
      <c r="G75" s="173"/>
      <c r="H75" s="155" t="s">
        <v>23</v>
      </c>
      <c r="I75" s="156" t="s">
        <v>14</v>
      </c>
      <c r="J75" s="157" t="s">
        <v>133</v>
      </c>
      <c r="K75" s="157" t="s">
        <v>14</v>
      </c>
      <c r="L75" s="157" t="s">
        <v>14</v>
      </c>
      <c r="M75" s="27" t="s">
        <v>14</v>
      </c>
      <c r="N75" s="136" t="s">
        <v>14</v>
      </c>
      <c r="O75" s="167" t="s">
        <v>14</v>
      </c>
      <c r="P75" s="16" t="s">
        <v>14</v>
      </c>
      <c r="Q75" s="17" t="s">
        <v>14</v>
      </c>
      <c r="R75" s="17" t="s">
        <v>14</v>
      </c>
      <c r="S75" s="132" t="s">
        <v>133</v>
      </c>
      <c r="T75" s="132" t="s">
        <v>133</v>
      </c>
      <c r="U75" s="19" t="s">
        <v>133</v>
      </c>
      <c r="V75" s="158" t="s">
        <v>164</v>
      </c>
      <c r="W75" s="77" t="s">
        <v>164</v>
      </c>
      <c r="X75" s="78" t="s">
        <v>164</v>
      </c>
      <c r="Y75" s="79" t="s">
        <v>164</v>
      </c>
      <c r="Z75" s="138" t="s">
        <v>164</v>
      </c>
      <c r="AA75" s="139" t="s">
        <v>164</v>
      </c>
      <c r="AB75" s="62" t="s">
        <v>14</v>
      </c>
      <c r="AC75" s="62" t="s">
        <v>14</v>
      </c>
      <c r="AD75" s="160" t="s">
        <v>164</v>
      </c>
      <c r="AE75" s="139" t="s">
        <v>164</v>
      </c>
      <c r="AF75" s="149" t="s">
        <v>164</v>
      </c>
      <c r="AG75" s="150"/>
      <c r="AH75" s="151"/>
      <c r="AI75" s="209"/>
      <c r="AJ75" s="210"/>
    </row>
    <row r="76" spans="2:36" s="46" customFormat="1" ht="24.95" customHeight="1" outlineLevel="1" x14ac:dyDescent="0.3">
      <c r="B76" s="135"/>
      <c r="C76" s="137"/>
      <c r="D76" s="137"/>
      <c r="E76" s="137"/>
      <c r="F76" s="137"/>
      <c r="G76" s="142"/>
      <c r="H76" s="144"/>
      <c r="I76" s="146"/>
      <c r="J76" s="137"/>
      <c r="K76" s="137"/>
      <c r="L76" s="137"/>
      <c r="M76" s="72" t="s">
        <v>14</v>
      </c>
      <c r="N76" s="137"/>
      <c r="O76" s="168"/>
      <c r="P76" s="51" t="s">
        <v>14</v>
      </c>
      <c r="Q76" s="52" t="s">
        <v>14</v>
      </c>
      <c r="R76" s="52" t="s">
        <v>14</v>
      </c>
      <c r="S76" s="133"/>
      <c r="T76" s="133"/>
      <c r="U76" s="40" t="s">
        <v>133</v>
      </c>
      <c r="V76" s="159"/>
      <c r="W76" s="66" t="s">
        <v>164</v>
      </c>
      <c r="X76" s="66" t="s">
        <v>164</v>
      </c>
      <c r="Y76" s="25" t="s">
        <v>164</v>
      </c>
      <c r="Z76" s="135"/>
      <c r="AA76" s="137"/>
      <c r="AB76" s="41" t="s">
        <v>14</v>
      </c>
      <c r="AC76" s="58" t="s">
        <v>14</v>
      </c>
      <c r="AD76" s="161"/>
      <c r="AE76" s="137"/>
      <c r="AF76" s="148"/>
      <c r="AG76" s="122"/>
      <c r="AH76" s="123"/>
      <c r="AI76" s="126"/>
      <c r="AJ76" s="127"/>
    </row>
    <row r="77" spans="2:36" s="46" customFormat="1" ht="61.5" customHeight="1" outlineLevel="1" x14ac:dyDescent="0.3">
      <c r="B77" s="134">
        <v>7</v>
      </c>
      <c r="C77" s="136" t="s">
        <v>204</v>
      </c>
      <c r="D77" s="136" t="s">
        <v>187</v>
      </c>
      <c r="E77" s="128" t="s">
        <v>39</v>
      </c>
      <c r="F77" s="136" t="s">
        <v>40</v>
      </c>
      <c r="G77" s="141" t="s">
        <v>188</v>
      </c>
      <c r="H77" s="143" t="s">
        <v>22</v>
      </c>
      <c r="I77" s="145">
        <v>0.85</v>
      </c>
      <c r="J77" s="136">
        <v>5</v>
      </c>
      <c r="K77" s="128" t="s">
        <v>124</v>
      </c>
      <c r="L77" s="130">
        <v>0.7</v>
      </c>
      <c r="M77" s="15">
        <v>0.88500000000000001</v>
      </c>
      <c r="N77" s="15">
        <f>IF((((($I77-$L77)/($AD77-$Z77))*($N78-$Z77))+$L77)&gt;0.85,$I77,((($I77-$L77)/($AD77-$Z77))*($N78-$Z77))+$L77)</f>
        <v>0.73908188585607937</v>
      </c>
      <c r="O77" s="15">
        <f>M77-N77</f>
        <v>0.14591811414392064</v>
      </c>
      <c r="P77" s="16">
        <v>4</v>
      </c>
      <c r="Q77" s="17">
        <v>0</v>
      </c>
      <c r="R77" s="17">
        <v>0</v>
      </c>
      <c r="S77" s="132" t="s">
        <v>14</v>
      </c>
      <c r="T77" s="132" t="s">
        <v>14</v>
      </c>
      <c r="U77" s="19" t="s">
        <v>14</v>
      </c>
      <c r="V77" s="158" t="s">
        <v>201</v>
      </c>
      <c r="W77" s="77" t="s">
        <v>201</v>
      </c>
      <c r="X77" s="78" t="s">
        <v>201</v>
      </c>
      <c r="Y77" s="79" t="s">
        <v>201</v>
      </c>
      <c r="Z77" s="138">
        <v>46014</v>
      </c>
      <c r="AA77" s="139">
        <v>47153</v>
      </c>
      <c r="AB77" s="57" t="s">
        <v>14</v>
      </c>
      <c r="AC77" s="57" t="s">
        <v>14</v>
      </c>
      <c r="AD77" s="139">
        <v>46417</v>
      </c>
      <c r="AE77" s="139">
        <v>46782</v>
      </c>
      <c r="AF77" s="147">
        <f ca="1">AD77-TODAY()</f>
        <v>292</v>
      </c>
      <c r="AG77" s="120" t="s">
        <v>252</v>
      </c>
      <c r="AH77" s="121"/>
      <c r="AI77" s="163"/>
      <c r="AJ77" s="164"/>
    </row>
    <row r="78" spans="2:36" s="46" customFormat="1" ht="24.95" customHeight="1" outlineLevel="1" x14ac:dyDescent="0.3">
      <c r="B78" s="172"/>
      <c r="C78" s="157"/>
      <c r="D78" s="157"/>
      <c r="E78" s="157"/>
      <c r="F78" s="157"/>
      <c r="G78" s="173"/>
      <c r="H78" s="144"/>
      <c r="I78" s="146"/>
      <c r="J78" s="137"/>
      <c r="K78" s="129"/>
      <c r="L78" s="131"/>
      <c r="M78" s="22" t="s">
        <v>215</v>
      </c>
      <c r="N78" s="23">
        <v>46119</v>
      </c>
      <c r="O78" s="24" t="str">
        <f>IF(O77&gt;0,"초과","미달")</f>
        <v>초과</v>
      </c>
      <c r="P78" s="51">
        <f>$P77/$J77</f>
        <v>0.8</v>
      </c>
      <c r="Q78" s="52">
        <f>$Q77/$J77</f>
        <v>0</v>
      </c>
      <c r="R78" s="52">
        <f>IF(R77="-","-",R77/$J77)</f>
        <v>0</v>
      </c>
      <c r="S78" s="133"/>
      <c r="T78" s="133"/>
      <c r="U78" s="40" t="s">
        <v>14</v>
      </c>
      <c r="V78" s="159"/>
      <c r="W78" s="66" t="s">
        <v>201</v>
      </c>
      <c r="X78" s="66" t="s">
        <v>201</v>
      </c>
      <c r="Y78" s="25" t="s">
        <v>201</v>
      </c>
      <c r="Z78" s="135"/>
      <c r="AA78" s="137"/>
      <c r="AB78" s="41" t="s">
        <v>14</v>
      </c>
      <c r="AC78" s="63" t="str">
        <f>IFERROR(AC77-AB77,"-")</f>
        <v>-</v>
      </c>
      <c r="AD78" s="188"/>
      <c r="AE78" s="137"/>
      <c r="AF78" s="148"/>
      <c r="AG78" s="122"/>
      <c r="AH78" s="123"/>
      <c r="AI78" s="165"/>
      <c r="AJ78" s="166"/>
    </row>
    <row r="79" spans="2:36" s="46" customFormat="1" ht="24.95" customHeight="1" outlineLevel="1" x14ac:dyDescent="0.3">
      <c r="B79" s="172"/>
      <c r="C79" s="157"/>
      <c r="D79" s="157"/>
      <c r="E79" s="157"/>
      <c r="F79" s="157"/>
      <c r="G79" s="173"/>
      <c r="H79" s="155" t="s">
        <v>23</v>
      </c>
      <c r="I79" s="156" t="s">
        <v>216</v>
      </c>
      <c r="J79" s="157">
        <v>34</v>
      </c>
      <c r="K79" s="191" t="s">
        <v>190</v>
      </c>
      <c r="L79" s="157" t="s">
        <v>189</v>
      </c>
      <c r="M79" s="27" t="s">
        <v>14</v>
      </c>
      <c r="N79" s="15" t="s">
        <v>189</v>
      </c>
      <c r="O79" s="15" t="s">
        <v>189</v>
      </c>
      <c r="P79" s="16" t="s">
        <v>251</v>
      </c>
      <c r="Q79" s="17" t="s">
        <v>14</v>
      </c>
      <c r="R79" s="17" t="s">
        <v>14</v>
      </c>
      <c r="S79" s="132" t="s">
        <v>14</v>
      </c>
      <c r="T79" s="132" t="s">
        <v>14</v>
      </c>
      <c r="U79" s="19" t="s">
        <v>14</v>
      </c>
      <c r="V79" s="158" t="s">
        <v>14</v>
      </c>
      <c r="W79" s="77" t="s">
        <v>14</v>
      </c>
      <c r="X79" s="78" t="s">
        <v>14</v>
      </c>
      <c r="Y79" s="79" t="s">
        <v>14</v>
      </c>
      <c r="Z79" s="138">
        <v>46014</v>
      </c>
      <c r="AA79" s="139">
        <v>47153</v>
      </c>
      <c r="AB79" s="62" t="s">
        <v>14</v>
      </c>
      <c r="AC79" s="62" t="s">
        <v>14</v>
      </c>
      <c r="AD79" s="160">
        <v>46542</v>
      </c>
      <c r="AE79" s="139">
        <v>46907</v>
      </c>
      <c r="AF79" s="149">
        <f ca="1">AD79-TODAY()</f>
        <v>417</v>
      </c>
      <c r="AG79" s="150" t="s">
        <v>191</v>
      </c>
      <c r="AH79" s="151"/>
      <c r="AI79" s="209"/>
      <c r="AJ79" s="210"/>
    </row>
    <row r="80" spans="2:36" s="46" customFormat="1" ht="24.95" customHeight="1" outlineLevel="1" x14ac:dyDescent="0.3">
      <c r="B80" s="135"/>
      <c r="C80" s="137"/>
      <c r="D80" s="137"/>
      <c r="E80" s="137"/>
      <c r="F80" s="137"/>
      <c r="G80" s="142"/>
      <c r="H80" s="144"/>
      <c r="I80" s="146"/>
      <c r="J80" s="137"/>
      <c r="K80" s="137"/>
      <c r="L80" s="137"/>
      <c r="M80" s="72" t="s">
        <v>14</v>
      </c>
      <c r="N80" s="119">
        <v>46119</v>
      </c>
      <c r="O80" s="24" t="str">
        <f>IF(O79&gt;0,"초과","미달")</f>
        <v>초과</v>
      </c>
      <c r="P80" s="51" t="s">
        <v>14</v>
      </c>
      <c r="Q80" s="52" t="s">
        <v>14</v>
      </c>
      <c r="R80" s="52" t="s">
        <v>14</v>
      </c>
      <c r="S80" s="133"/>
      <c r="T80" s="133"/>
      <c r="U80" s="40" t="s">
        <v>14</v>
      </c>
      <c r="V80" s="159"/>
      <c r="W80" s="66" t="s">
        <v>14</v>
      </c>
      <c r="X80" s="66" t="s">
        <v>14</v>
      </c>
      <c r="Y80" s="25" t="s">
        <v>14</v>
      </c>
      <c r="Z80" s="135"/>
      <c r="AA80" s="137"/>
      <c r="AB80" s="41" t="s">
        <v>14</v>
      </c>
      <c r="AC80" s="58" t="s">
        <v>14</v>
      </c>
      <c r="AD80" s="161"/>
      <c r="AE80" s="137"/>
      <c r="AF80" s="148"/>
      <c r="AG80" s="122"/>
      <c r="AH80" s="123"/>
      <c r="AI80" s="126"/>
      <c r="AJ80" s="127"/>
    </row>
    <row r="81" spans="2:36" s="46" customFormat="1" ht="24.95" customHeight="1" outlineLevel="1" x14ac:dyDescent="0.3">
      <c r="B81" s="172">
        <v>8</v>
      </c>
      <c r="C81" s="157" t="s">
        <v>47</v>
      </c>
      <c r="D81" s="157" t="s">
        <v>70</v>
      </c>
      <c r="E81" s="191" t="s">
        <v>105</v>
      </c>
      <c r="F81" s="157" t="s">
        <v>40</v>
      </c>
      <c r="G81" s="173" t="s">
        <v>224</v>
      </c>
      <c r="H81" s="155" t="s">
        <v>22</v>
      </c>
      <c r="I81" s="156">
        <v>0.85</v>
      </c>
      <c r="J81" s="157">
        <v>7</v>
      </c>
      <c r="K81" s="191" t="s">
        <v>124</v>
      </c>
      <c r="L81" s="186">
        <v>0.84899999999999998</v>
      </c>
      <c r="M81" s="49">
        <v>0.80300000000000005</v>
      </c>
      <c r="N81" s="49">
        <f>IF((((($I81-$L81)/($AD81-$Z81))*($N82-$Z81))+$L81)&gt;0.85,$I81,((($I81-$L81)/($AD81-$Z81))*($N82-$Z81))+$L81)</f>
        <v>0.84946900000000003</v>
      </c>
      <c r="O81" s="49">
        <f>M81-N81</f>
        <v>-4.6468999999999983E-2</v>
      </c>
      <c r="P81" s="30">
        <v>7</v>
      </c>
      <c r="Q81" s="50">
        <v>2</v>
      </c>
      <c r="R81" s="50" t="s">
        <v>225</v>
      </c>
      <c r="S81" s="200">
        <v>161</v>
      </c>
      <c r="T81" s="200">
        <v>159</v>
      </c>
      <c r="U81" s="31">
        <v>184</v>
      </c>
      <c r="V81" s="201">
        <v>27</v>
      </c>
      <c r="W81" s="70">
        <v>7</v>
      </c>
      <c r="X81" s="78">
        <f ca="1">($V81/($AA81-$Z81))*(TODAY()-$Z81)</f>
        <v>11.886005560704357</v>
      </c>
      <c r="Y81" s="79">
        <f ca="1">IF((W81-X81)&lt;0,(X81-W81),(W81-X81))</f>
        <v>4.8860055607043567</v>
      </c>
      <c r="Z81" s="187">
        <v>45650</v>
      </c>
      <c r="AA81" s="171">
        <v>46729</v>
      </c>
      <c r="AB81" s="65" t="s">
        <v>14</v>
      </c>
      <c r="AC81" s="65" t="s">
        <v>14</v>
      </c>
      <c r="AD81" s="171">
        <v>46650</v>
      </c>
      <c r="AE81" s="171">
        <v>46710</v>
      </c>
      <c r="AF81" s="149">
        <f ca="1">AD81-TODAY()</f>
        <v>525</v>
      </c>
      <c r="AG81" s="150"/>
      <c r="AH81" s="151"/>
      <c r="AI81" s="198"/>
      <c r="AJ81" s="199"/>
    </row>
    <row r="82" spans="2:36" s="46" customFormat="1" ht="24.95" customHeight="1" outlineLevel="1" x14ac:dyDescent="0.3">
      <c r="B82" s="172"/>
      <c r="C82" s="157"/>
      <c r="D82" s="157"/>
      <c r="E82" s="157"/>
      <c r="F82" s="157"/>
      <c r="G82" s="173"/>
      <c r="H82" s="144"/>
      <c r="I82" s="146"/>
      <c r="J82" s="137"/>
      <c r="K82" s="129"/>
      <c r="L82" s="131"/>
      <c r="M82" s="22" t="s">
        <v>198</v>
      </c>
      <c r="N82" s="23">
        <v>46119</v>
      </c>
      <c r="O82" s="24" t="str">
        <f>IF(O81&gt;0,"초과","미달")</f>
        <v>미달</v>
      </c>
      <c r="P82" s="51">
        <f>$P81/$J81</f>
        <v>1</v>
      </c>
      <c r="Q82" s="52">
        <f>$Q81/$J81</f>
        <v>0.2857142857142857</v>
      </c>
      <c r="R82" s="52" t="str">
        <f>IF(R81="-","-",R81/$J81)</f>
        <v>-</v>
      </c>
      <c r="S82" s="133"/>
      <c r="T82" s="133"/>
      <c r="U82" s="40" t="str">
        <f>IF((T81-U81)&lt;0,(U81-T81)&amp;"㎥"&amp;" "&amp;"미달",(T81-U81)&amp;"㎥"&amp;" "&amp;"초과")</f>
        <v>25㎥ 미달</v>
      </c>
      <c r="V82" s="159"/>
      <c r="W82" s="66">
        <f>$W81/$V81</f>
        <v>0.25925925925925924</v>
      </c>
      <c r="X82" s="66">
        <f ca="1">X81/V81</f>
        <v>0.44022242817423546</v>
      </c>
      <c r="Y82" s="25" t="str">
        <f ca="1">IF((W81-X81)&lt;0,"미달","초과")</f>
        <v>미달</v>
      </c>
      <c r="Z82" s="135"/>
      <c r="AA82" s="137"/>
      <c r="AB82" s="41" t="s">
        <v>14</v>
      </c>
      <c r="AC82" s="63" t="str">
        <f>IFERROR(AC81-AB81,"-")</f>
        <v>-</v>
      </c>
      <c r="AD82" s="188"/>
      <c r="AE82" s="137"/>
      <c r="AF82" s="148"/>
      <c r="AG82" s="122"/>
      <c r="AH82" s="123"/>
      <c r="AI82" s="165"/>
      <c r="AJ82" s="166"/>
    </row>
    <row r="83" spans="2:36" s="46" customFormat="1" ht="24.95" customHeight="1" outlineLevel="1" x14ac:dyDescent="0.3">
      <c r="B83" s="172"/>
      <c r="C83" s="157"/>
      <c r="D83" s="157"/>
      <c r="E83" s="157"/>
      <c r="F83" s="157"/>
      <c r="G83" s="173"/>
      <c r="H83" s="155" t="s">
        <v>23</v>
      </c>
      <c r="I83" s="156">
        <v>0.7</v>
      </c>
      <c r="J83" s="157">
        <v>12</v>
      </c>
      <c r="K83" s="191" t="s">
        <v>190</v>
      </c>
      <c r="L83" s="186">
        <v>0.64900000000000002</v>
      </c>
      <c r="M83" s="100">
        <v>0.65300000000000002</v>
      </c>
      <c r="N83" s="49">
        <f>IF((((($I83-$L83)/($AD83-$Z83))*($N84-$Z83))+$L83)&gt;0.85,$I83,((($I83-$L83)/($AD83-$Z83))*($N84-$Z83))+$L83)</f>
        <v>0.67291900000000004</v>
      </c>
      <c r="O83" s="49">
        <f>M83-N83</f>
        <v>-1.991900000000002E-2</v>
      </c>
      <c r="P83" s="16">
        <v>10</v>
      </c>
      <c r="Q83" s="17">
        <v>2</v>
      </c>
      <c r="R83" s="17" t="s">
        <v>14</v>
      </c>
      <c r="S83" s="132">
        <v>304</v>
      </c>
      <c r="T83" s="132">
        <v>270</v>
      </c>
      <c r="U83" s="19">
        <v>280</v>
      </c>
      <c r="V83" s="158">
        <v>27</v>
      </c>
      <c r="W83" s="77">
        <v>13</v>
      </c>
      <c r="X83" s="78">
        <f ca="1">($V83/($AA83-$Z83))*(TODAY()-$Z83)</f>
        <v>11.886005560704357</v>
      </c>
      <c r="Y83" s="79">
        <f ca="1">IF((W83-X83)&lt;0,(X83-W83),(W83-X83))</f>
        <v>1.1139944392956433</v>
      </c>
      <c r="Z83" s="138">
        <v>45650</v>
      </c>
      <c r="AA83" s="139">
        <v>46729</v>
      </c>
      <c r="AB83" s="62" t="s">
        <v>14</v>
      </c>
      <c r="AC83" s="62" t="s">
        <v>14</v>
      </c>
      <c r="AD83" s="160">
        <v>46650</v>
      </c>
      <c r="AE83" s="139">
        <v>46710</v>
      </c>
      <c r="AF83" s="149">
        <f ca="1">AD83-TODAY()</f>
        <v>525</v>
      </c>
      <c r="AG83" s="150"/>
      <c r="AH83" s="151"/>
      <c r="AI83" s="209"/>
      <c r="AJ83" s="210"/>
    </row>
    <row r="84" spans="2:36" s="46" customFormat="1" ht="24.95" customHeight="1" outlineLevel="1" thickBot="1" x14ac:dyDescent="0.35">
      <c r="B84" s="250"/>
      <c r="C84" s="248"/>
      <c r="D84" s="248"/>
      <c r="E84" s="248"/>
      <c r="F84" s="248"/>
      <c r="G84" s="262"/>
      <c r="H84" s="246"/>
      <c r="I84" s="247"/>
      <c r="J84" s="248"/>
      <c r="K84" s="248"/>
      <c r="L84" s="275"/>
      <c r="M84" s="33" t="s">
        <v>198</v>
      </c>
      <c r="N84" s="112">
        <v>46119</v>
      </c>
      <c r="O84" s="89" t="str">
        <f>IF(O83&gt;0,"초과","미달")</f>
        <v>미달</v>
      </c>
      <c r="P84" s="84">
        <f>$P83/J83</f>
        <v>0.83333333333333337</v>
      </c>
      <c r="Q84" s="85" t="s">
        <v>14</v>
      </c>
      <c r="R84" s="85" t="s">
        <v>14</v>
      </c>
      <c r="S84" s="276"/>
      <c r="T84" s="276"/>
      <c r="U84" s="36" t="str">
        <f>IF((T83-U83)&lt;0,(U83-T83)&amp;"㎥"&amp;" "&amp;"미달",(T83-U83)&amp;"㎥"&amp;" "&amp;"초과")</f>
        <v>10㎥ 미달</v>
      </c>
      <c r="V84" s="277"/>
      <c r="W84" s="86">
        <f>$W83/$V83</f>
        <v>0.48148148148148145</v>
      </c>
      <c r="X84" s="86">
        <f ca="1">X83/V83</f>
        <v>0.44022242817423546</v>
      </c>
      <c r="Y84" s="87" t="str">
        <f ca="1">IF((W83-X83)&lt;0,"미달","초과")</f>
        <v>초과</v>
      </c>
      <c r="Z84" s="250"/>
      <c r="AA84" s="248"/>
      <c r="AB84" s="37" t="s">
        <v>14</v>
      </c>
      <c r="AC84" s="35" t="s">
        <v>14</v>
      </c>
      <c r="AD84" s="251"/>
      <c r="AE84" s="248"/>
      <c r="AF84" s="269"/>
      <c r="AG84" s="270"/>
      <c r="AH84" s="271"/>
      <c r="AI84" s="272"/>
      <c r="AJ84" s="273"/>
    </row>
    <row r="85" spans="2:36" s="45" customFormat="1" ht="37.5" customHeight="1" thickBot="1" x14ac:dyDescent="0.35">
      <c r="B85" s="212" t="s">
        <v>84</v>
      </c>
      <c r="C85" s="212"/>
      <c r="D85" s="212"/>
      <c r="E85" s="212"/>
      <c r="F85" s="212"/>
      <c r="G85" s="212"/>
      <c r="H85" s="212"/>
      <c r="I85" s="212"/>
      <c r="J85" s="212"/>
      <c r="K85" s="212"/>
      <c r="L85" s="212"/>
      <c r="M85" s="212"/>
      <c r="N85" s="212"/>
      <c r="O85" s="212"/>
      <c r="P85" s="212"/>
      <c r="Q85" s="212"/>
      <c r="R85" s="212"/>
      <c r="S85" s="212"/>
      <c r="T85" s="212"/>
      <c r="U85" s="212"/>
      <c r="V85" s="212"/>
      <c r="W85" s="212"/>
      <c r="X85" s="212"/>
      <c r="Y85" s="212"/>
      <c r="Z85" s="212"/>
      <c r="AA85" s="212"/>
      <c r="AB85" s="212"/>
      <c r="AC85" s="212"/>
      <c r="AD85" s="212"/>
      <c r="AE85" s="212"/>
      <c r="AF85" s="212"/>
      <c r="AG85" s="212"/>
      <c r="AH85" s="212"/>
      <c r="AI85" s="212"/>
      <c r="AJ85" s="212"/>
    </row>
    <row r="86" spans="2:36" s="46" customFormat="1" ht="43.5" customHeight="1" outlineLevel="1" x14ac:dyDescent="0.3">
      <c r="B86" s="134">
        <v>1</v>
      </c>
      <c r="C86" s="136" t="s">
        <v>204</v>
      </c>
      <c r="D86" s="136" t="s">
        <v>73</v>
      </c>
      <c r="E86" s="128" t="s">
        <v>121</v>
      </c>
      <c r="F86" s="136" t="s">
        <v>48</v>
      </c>
      <c r="G86" s="141" t="s">
        <v>109</v>
      </c>
      <c r="H86" s="143" t="s">
        <v>22</v>
      </c>
      <c r="I86" s="145">
        <v>0.85</v>
      </c>
      <c r="J86" s="136">
        <v>26</v>
      </c>
      <c r="K86" s="128" t="s">
        <v>110</v>
      </c>
      <c r="L86" s="130">
        <v>0.82699999999999996</v>
      </c>
      <c r="M86" s="15">
        <v>0.83799999999999997</v>
      </c>
      <c r="N86" s="15">
        <f>IF((((($I86-$L86)/($AD86-$Z86))*($N87-$Z86))+$L86)&gt;0.85,$I86,((($I86-$L86)/($AD86-$Z86))*($N87-$Z86))+$L86)</f>
        <v>0.85</v>
      </c>
      <c r="O86" s="15">
        <f>M86-N86</f>
        <v>-1.2000000000000011E-2</v>
      </c>
      <c r="P86" s="90">
        <v>26</v>
      </c>
      <c r="Q86" s="91">
        <v>3</v>
      </c>
      <c r="R86" s="91">
        <v>10</v>
      </c>
      <c r="S86" s="132">
        <v>246</v>
      </c>
      <c r="T86" s="132">
        <v>85</v>
      </c>
      <c r="U86" s="19">
        <v>133</v>
      </c>
      <c r="V86" s="158">
        <v>59</v>
      </c>
      <c r="W86" s="77">
        <v>12</v>
      </c>
      <c r="X86" s="78">
        <f>($V86/($AA86-$Z86))*($N87-$Z86)</f>
        <v>24.861974405850091</v>
      </c>
      <c r="Y86" s="79">
        <f>IF((W86-X86)&lt;0,(X86-W86),(W86-X86))</f>
        <v>12.861974405850091</v>
      </c>
      <c r="Z86" s="138">
        <v>45658</v>
      </c>
      <c r="AA86" s="139">
        <v>46752</v>
      </c>
      <c r="AB86" s="57" t="s">
        <v>14</v>
      </c>
      <c r="AC86" s="57" t="s">
        <v>14</v>
      </c>
      <c r="AD86" s="139">
        <v>46023</v>
      </c>
      <c r="AE86" s="139">
        <v>46752</v>
      </c>
      <c r="AF86" s="147">
        <f ca="1">AD86-TODAY()</f>
        <v>-102</v>
      </c>
      <c r="AG86" s="120" t="s">
        <v>222</v>
      </c>
      <c r="AH86" s="121"/>
      <c r="AI86" s="124" t="s">
        <v>223</v>
      </c>
      <c r="AJ86" s="125"/>
    </row>
    <row r="87" spans="2:36" s="46" customFormat="1" ht="43.5" customHeight="1" outlineLevel="1" x14ac:dyDescent="0.3">
      <c r="B87" s="172"/>
      <c r="C87" s="157"/>
      <c r="D87" s="157"/>
      <c r="E87" s="157"/>
      <c r="F87" s="157"/>
      <c r="G87" s="173"/>
      <c r="H87" s="144"/>
      <c r="I87" s="146"/>
      <c r="J87" s="137"/>
      <c r="K87" s="129"/>
      <c r="L87" s="131"/>
      <c r="M87" s="22" t="s">
        <v>198</v>
      </c>
      <c r="N87" s="23">
        <v>46119</v>
      </c>
      <c r="O87" s="24" t="str">
        <f>IF(O86&gt;0,"초과","미달")</f>
        <v>미달</v>
      </c>
      <c r="P87" s="51">
        <f>$P86/$J86</f>
        <v>1</v>
      </c>
      <c r="Q87" s="52">
        <f>$Q86/$J86</f>
        <v>0.11538461538461539</v>
      </c>
      <c r="R87" s="52">
        <f>IF(R86="-","-",R86/$J86)</f>
        <v>0.38461538461538464</v>
      </c>
      <c r="S87" s="133"/>
      <c r="T87" s="133"/>
      <c r="U87" s="40" t="str">
        <f>IF((T86-U86)&lt;0,(U86-T86)&amp;"㎥"&amp;" "&amp;"미달",(T86-U86)&amp;"㎥"&amp;" "&amp;"초과")</f>
        <v>48㎥ 미달</v>
      </c>
      <c r="V87" s="159"/>
      <c r="W87" s="66">
        <f>$W86/$V86</f>
        <v>0.20338983050847459</v>
      </c>
      <c r="X87" s="66">
        <f>X86/V86</f>
        <v>0.42138939670932357</v>
      </c>
      <c r="Y87" s="25" t="str">
        <f>IF((W86-X86)&lt;0,"미달","초과")</f>
        <v>미달</v>
      </c>
      <c r="Z87" s="135"/>
      <c r="AA87" s="137"/>
      <c r="AB87" s="41" t="s">
        <v>14</v>
      </c>
      <c r="AC87" s="63" t="str">
        <f>IFERROR(AC86-AB86,"-")</f>
        <v>-</v>
      </c>
      <c r="AD87" s="188"/>
      <c r="AE87" s="137"/>
      <c r="AF87" s="148"/>
      <c r="AG87" s="122"/>
      <c r="AH87" s="123"/>
      <c r="AI87" s="126"/>
      <c r="AJ87" s="127"/>
    </row>
    <row r="88" spans="2:36" s="46" customFormat="1" ht="24.95" customHeight="1" outlineLevel="1" x14ac:dyDescent="0.3">
      <c r="B88" s="172"/>
      <c r="C88" s="157"/>
      <c r="D88" s="157"/>
      <c r="E88" s="157"/>
      <c r="F88" s="157"/>
      <c r="G88" s="173"/>
      <c r="H88" s="155" t="s">
        <v>23</v>
      </c>
      <c r="I88" s="156" t="s">
        <v>14</v>
      </c>
      <c r="J88" s="157" t="s">
        <v>14</v>
      </c>
      <c r="K88" s="157" t="s">
        <v>14</v>
      </c>
      <c r="L88" s="157" t="s">
        <v>14</v>
      </c>
      <c r="M88" s="27" t="s">
        <v>14</v>
      </c>
      <c r="N88" s="28" t="s">
        <v>14</v>
      </c>
      <c r="O88" s="29" t="s">
        <v>14</v>
      </c>
      <c r="P88" s="30" t="s">
        <v>14</v>
      </c>
      <c r="Q88" s="28" t="s">
        <v>14</v>
      </c>
      <c r="R88" s="28" t="s">
        <v>14</v>
      </c>
      <c r="S88" s="189" t="s">
        <v>14</v>
      </c>
      <c r="T88" s="189" t="s">
        <v>14</v>
      </c>
      <c r="U88" s="31" t="s">
        <v>14</v>
      </c>
      <c r="V88" s="134" t="s">
        <v>14</v>
      </c>
      <c r="W88" s="136" t="s">
        <v>14</v>
      </c>
      <c r="X88" s="27" t="s">
        <v>14</v>
      </c>
      <c r="Y88" s="32" t="s">
        <v>14</v>
      </c>
      <c r="Z88" s="134" t="s">
        <v>14</v>
      </c>
      <c r="AA88" s="136" t="s">
        <v>14</v>
      </c>
      <c r="AB88" s="62" t="s">
        <v>14</v>
      </c>
      <c r="AC88" s="62" t="s">
        <v>14</v>
      </c>
      <c r="AD88" s="192" t="s">
        <v>14</v>
      </c>
      <c r="AE88" s="136" t="s">
        <v>14</v>
      </c>
      <c r="AF88" s="193" t="s">
        <v>14</v>
      </c>
      <c r="AG88" s="195"/>
      <c r="AH88" s="196"/>
      <c r="AI88" s="198"/>
      <c r="AJ88" s="199"/>
    </row>
    <row r="89" spans="2:36" s="46" customFormat="1" ht="24.95" customHeight="1" outlineLevel="1" x14ac:dyDescent="0.3">
      <c r="B89" s="135"/>
      <c r="C89" s="137"/>
      <c r="D89" s="137"/>
      <c r="E89" s="137"/>
      <c r="F89" s="137"/>
      <c r="G89" s="142"/>
      <c r="H89" s="144"/>
      <c r="I89" s="146"/>
      <c r="J89" s="137"/>
      <c r="K89" s="137"/>
      <c r="L89" s="137"/>
      <c r="M89" s="72" t="s">
        <v>14</v>
      </c>
      <c r="N89" s="73" t="s">
        <v>14</v>
      </c>
      <c r="O89" s="74" t="s">
        <v>14</v>
      </c>
      <c r="P89" s="75" t="s">
        <v>14</v>
      </c>
      <c r="Q89" s="58" t="s">
        <v>14</v>
      </c>
      <c r="R89" s="58" t="s">
        <v>14</v>
      </c>
      <c r="S89" s="190"/>
      <c r="T89" s="190"/>
      <c r="U89" s="40" t="s">
        <v>14</v>
      </c>
      <c r="V89" s="135"/>
      <c r="W89" s="137"/>
      <c r="X89" s="41" t="s">
        <v>14</v>
      </c>
      <c r="Y89" s="40" t="s">
        <v>14</v>
      </c>
      <c r="Z89" s="135"/>
      <c r="AA89" s="137"/>
      <c r="AB89" s="41" t="s">
        <v>14</v>
      </c>
      <c r="AC89" s="58" t="s">
        <v>14</v>
      </c>
      <c r="AD89" s="161"/>
      <c r="AE89" s="137"/>
      <c r="AF89" s="194"/>
      <c r="AG89" s="197"/>
      <c r="AH89" s="161"/>
      <c r="AI89" s="165"/>
      <c r="AJ89" s="166"/>
    </row>
    <row r="90" spans="2:36" s="46" customFormat="1" ht="24.95" customHeight="1" outlineLevel="1" x14ac:dyDescent="0.3">
      <c r="B90" s="134">
        <v>2</v>
      </c>
      <c r="C90" s="157" t="s">
        <v>47</v>
      </c>
      <c r="D90" s="157" t="s">
        <v>74</v>
      </c>
      <c r="E90" s="191" t="s">
        <v>158</v>
      </c>
      <c r="F90" s="136" t="s">
        <v>48</v>
      </c>
      <c r="G90" s="141" t="s">
        <v>111</v>
      </c>
      <c r="H90" s="143" t="s">
        <v>22</v>
      </c>
      <c r="I90" s="186">
        <v>0.85</v>
      </c>
      <c r="J90" s="157">
        <v>8</v>
      </c>
      <c r="K90" s="157" t="s">
        <v>112</v>
      </c>
      <c r="L90" s="186">
        <v>0.84599999999999997</v>
      </c>
      <c r="M90" s="15">
        <v>0.82399999999999995</v>
      </c>
      <c r="N90" s="49">
        <v>0.85</v>
      </c>
      <c r="O90" s="83">
        <f>M90-N90</f>
        <v>-2.6000000000000023E-2</v>
      </c>
      <c r="P90" s="16">
        <v>8</v>
      </c>
      <c r="Q90" s="17" t="s">
        <v>174</v>
      </c>
      <c r="R90" s="18" t="s">
        <v>174</v>
      </c>
      <c r="S90" s="189" t="s">
        <v>14</v>
      </c>
      <c r="T90" s="189" t="s">
        <v>14</v>
      </c>
      <c r="U90" s="31" t="s">
        <v>14</v>
      </c>
      <c r="V90" s="158">
        <v>44</v>
      </c>
      <c r="W90" s="77">
        <v>50</v>
      </c>
      <c r="X90" s="78">
        <f t="shared" ref="X90" si="0">($V90/($AA90-$Z90))*($N91-$Z90)</f>
        <v>14.359832635983265</v>
      </c>
      <c r="Y90" s="79">
        <f t="shared" ref="Y90" si="1">IF((W90-X90)&lt;0,(X90-W90),(W90-X90))</f>
        <v>35.640167364016733</v>
      </c>
      <c r="Z90" s="187">
        <v>46041</v>
      </c>
      <c r="AA90" s="171">
        <v>46280</v>
      </c>
      <c r="AB90" s="57" t="s">
        <v>14</v>
      </c>
      <c r="AC90" s="57" t="s">
        <v>14</v>
      </c>
      <c r="AD90" s="171">
        <v>45677</v>
      </c>
      <c r="AE90" s="171">
        <v>46280</v>
      </c>
      <c r="AF90" s="149">
        <f ca="1">AD90-TODAY()</f>
        <v>-448</v>
      </c>
      <c r="AG90" s="178"/>
      <c r="AH90" s="179"/>
      <c r="AI90" s="174"/>
      <c r="AJ90" s="175"/>
    </row>
    <row r="91" spans="2:36" s="46" customFormat="1" ht="24.95" customHeight="1" outlineLevel="1" x14ac:dyDescent="0.3">
      <c r="B91" s="172"/>
      <c r="C91" s="157"/>
      <c r="D91" s="157"/>
      <c r="E91" s="157"/>
      <c r="F91" s="157"/>
      <c r="G91" s="173"/>
      <c r="H91" s="144"/>
      <c r="I91" s="131"/>
      <c r="J91" s="137"/>
      <c r="K91" s="137"/>
      <c r="L91" s="131"/>
      <c r="M91" s="22" t="s">
        <v>215</v>
      </c>
      <c r="N91" s="23">
        <v>46119</v>
      </c>
      <c r="O91" s="24" t="str">
        <f>IF(O90&gt;0,"초과","미달")</f>
        <v>미달</v>
      </c>
      <c r="P91" s="51">
        <f>$P90/$J90</f>
        <v>1</v>
      </c>
      <c r="Q91" s="52" t="s">
        <v>174</v>
      </c>
      <c r="R91" s="52" t="s">
        <v>174</v>
      </c>
      <c r="S91" s="190"/>
      <c r="T91" s="190"/>
      <c r="U91" s="40" t="s">
        <v>14</v>
      </c>
      <c r="V91" s="159"/>
      <c r="W91" s="66">
        <f t="shared" ref="W91" si="2">$W90/$V90</f>
        <v>1.1363636363636365</v>
      </c>
      <c r="X91" s="66">
        <f t="shared" ref="X91" si="3">X90/V90</f>
        <v>0.32635983263598328</v>
      </c>
      <c r="Y91" s="25" t="str">
        <f t="shared" ref="Y91" si="4">IF((W90-X90)&lt;0,"미달","초과")</f>
        <v>초과</v>
      </c>
      <c r="Z91" s="135"/>
      <c r="AA91" s="137"/>
      <c r="AB91" s="41" t="s">
        <v>14</v>
      </c>
      <c r="AC91" s="63" t="str">
        <f>IFERROR(AC90-AB90,"-")</f>
        <v>-</v>
      </c>
      <c r="AD91" s="188"/>
      <c r="AE91" s="137"/>
      <c r="AF91" s="148"/>
      <c r="AG91" s="180"/>
      <c r="AH91" s="181"/>
      <c r="AI91" s="176"/>
      <c r="AJ91" s="177"/>
    </row>
    <row r="92" spans="2:36" s="46" customFormat="1" ht="24.95" customHeight="1" outlineLevel="1" x14ac:dyDescent="0.3">
      <c r="B92" s="172"/>
      <c r="C92" s="157"/>
      <c r="D92" s="157"/>
      <c r="E92" s="157"/>
      <c r="F92" s="157"/>
      <c r="G92" s="173"/>
      <c r="H92" s="155" t="s">
        <v>23</v>
      </c>
      <c r="I92" s="130">
        <v>0.61499999999999999</v>
      </c>
      <c r="J92" s="136">
        <v>15</v>
      </c>
      <c r="K92" s="136" t="s">
        <v>192</v>
      </c>
      <c r="L92" s="130">
        <v>0.56100000000000005</v>
      </c>
      <c r="M92" s="15">
        <v>0.64900000000000002</v>
      </c>
      <c r="N92" s="15">
        <v>0.56499999999999995</v>
      </c>
      <c r="O92" s="83">
        <f>M92-N92</f>
        <v>8.4000000000000075E-2</v>
      </c>
      <c r="P92" s="16">
        <v>15</v>
      </c>
      <c r="Q92" s="17" t="s">
        <v>174</v>
      </c>
      <c r="R92" s="18" t="s">
        <v>174</v>
      </c>
      <c r="S92" s="189" t="s">
        <v>14</v>
      </c>
      <c r="T92" s="189" t="s">
        <v>14</v>
      </c>
      <c r="U92" s="31" t="s">
        <v>14</v>
      </c>
      <c r="V92" s="158" t="s">
        <v>159</v>
      </c>
      <c r="W92" s="77" t="s">
        <v>159</v>
      </c>
      <c r="X92" s="78" t="s">
        <v>159</v>
      </c>
      <c r="Y92" s="79" t="s">
        <v>159</v>
      </c>
      <c r="Z92" s="187">
        <v>46041</v>
      </c>
      <c r="AA92" s="171">
        <v>46280</v>
      </c>
      <c r="AB92" s="57" t="s">
        <v>14</v>
      </c>
      <c r="AC92" s="57" t="s">
        <v>14</v>
      </c>
      <c r="AD92" s="171">
        <v>45677</v>
      </c>
      <c r="AE92" s="171">
        <v>46280</v>
      </c>
      <c r="AF92" s="147">
        <f ca="1">AA92-TODAY()</f>
        <v>155</v>
      </c>
      <c r="AG92" s="182"/>
      <c r="AH92" s="183"/>
      <c r="AI92" s="174"/>
      <c r="AJ92" s="175"/>
    </row>
    <row r="93" spans="2:36" s="46" customFormat="1" ht="24.95" customHeight="1" outlineLevel="1" x14ac:dyDescent="0.3">
      <c r="B93" s="135"/>
      <c r="C93" s="137"/>
      <c r="D93" s="137"/>
      <c r="E93" s="137"/>
      <c r="F93" s="137"/>
      <c r="G93" s="142"/>
      <c r="H93" s="144"/>
      <c r="I93" s="131"/>
      <c r="J93" s="137"/>
      <c r="K93" s="137"/>
      <c r="L93" s="131"/>
      <c r="M93" s="22" t="s">
        <v>215</v>
      </c>
      <c r="N93" s="23">
        <v>46119</v>
      </c>
      <c r="O93" s="24" t="str">
        <f>IF(O92&gt;0,"초과","미달")</f>
        <v>초과</v>
      </c>
      <c r="P93" s="51">
        <f>$P92/$J92</f>
        <v>1</v>
      </c>
      <c r="Q93" s="52" t="s">
        <v>174</v>
      </c>
      <c r="R93" s="52" t="s">
        <v>174</v>
      </c>
      <c r="S93" s="190"/>
      <c r="T93" s="190"/>
      <c r="U93" s="40" t="s">
        <v>14</v>
      </c>
      <c r="V93" s="159"/>
      <c r="W93" s="66" t="s">
        <v>159</v>
      </c>
      <c r="X93" s="66" t="s">
        <v>159</v>
      </c>
      <c r="Y93" s="25" t="s">
        <v>159</v>
      </c>
      <c r="Z93" s="135"/>
      <c r="AA93" s="137"/>
      <c r="AB93" s="41" t="s">
        <v>14</v>
      </c>
      <c r="AC93" s="63" t="str">
        <f>IFERROR(AC92-AB92,"-")</f>
        <v>-</v>
      </c>
      <c r="AD93" s="188"/>
      <c r="AE93" s="137"/>
      <c r="AF93" s="148"/>
      <c r="AG93" s="184"/>
      <c r="AH93" s="185"/>
      <c r="AI93" s="176"/>
      <c r="AJ93" s="177"/>
    </row>
    <row r="94" spans="2:36" s="46" customFormat="1" ht="24.95" customHeight="1" outlineLevel="1" x14ac:dyDescent="0.3">
      <c r="B94" s="134">
        <v>3</v>
      </c>
      <c r="C94" s="136" t="s">
        <v>204</v>
      </c>
      <c r="D94" s="136" t="s">
        <v>72</v>
      </c>
      <c r="E94" s="128" t="s">
        <v>158</v>
      </c>
      <c r="F94" s="136" t="s">
        <v>48</v>
      </c>
      <c r="G94" s="141" t="s">
        <v>102</v>
      </c>
      <c r="H94" s="143" t="s">
        <v>155</v>
      </c>
      <c r="I94" s="130">
        <v>0.83</v>
      </c>
      <c r="J94" s="136">
        <v>20</v>
      </c>
      <c r="K94" s="136" t="s">
        <v>156</v>
      </c>
      <c r="L94" s="130">
        <v>0.82599999999999996</v>
      </c>
      <c r="M94" s="15">
        <v>0.86099999999999999</v>
      </c>
      <c r="N94" s="15">
        <f>IF((((($I94-$L94)/($AD94-$Z94))*($N95-$Z94))+$L94)&gt;I94,$I94,((($I94-$L94)/($AD94-$Z94))*($N95-$Z94))+$L94)</f>
        <v>0.83</v>
      </c>
      <c r="O94" s="15">
        <f>M94-N94</f>
        <v>3.1000000000000028E-2</v>
      </c>
      <c r="P94" s="16">
        <v>18</v>
      </c>
      <c r="Q94" s="17" t="s">
        <v>157</v>
      </c>
      <c r="R94" s="18" t="s">
        <v>157</v>
      </c>
      <c r="S94" s="189" t="s">
        <v>14</v>
      </c>
      <c r="T94" s="189" t="s">
        <v>14</v>
      </c>
      <c r="U94" s="31" t="s">
        <v>14</v>
      </c>
      <c r="V94" s="158">
        <v>79</v>
      </c>
      <c r="W94" s="77">
        <v>82</v>
      </c>
      <c r="X94" s="78">
        <f>($V94/($AA94-$Z94))*($N95-$Z94)</f>
        <v>75.119555143651525</v>
      </c>
      <c r="Y94" s="79">
        <f>IF((W94-X94)&lt;0,(X94-W94),(W94-X94))</f>
        <v>6.8804448563484755</v>
      </c>
      <c r="Z94" s="138">
        <v>45093</v>
      </c>
      <c r="AA94" s="139">
        <v>46172</v>
      </c>
      <c r="AB94" s="57" t="s">
        <v>14</v>
      </c>
      <c r="AC94" s="57" t="s">
        <v>14</v>
      </c>
      <c r="AD94" s="139">
        <v>45824</v>
      </c>
      <c r="AE94" s="139">
        <v>46172</v>
      </c>
      <c r="AF94" s="147">
        <f ca="1">AD94-TODAY()</f>
        <v>-301</v>
      </c>
      <c r="AG94" s="120" t="s">
        <v>253</v>
      </c>
      <c r="AH94" s="243"/>
      <c r="AI94" s="242"/>
      <c r="AJ94" s="125"/>
    </row>
    <row r="95" spans="2:36" s="46" customFormat="1" ht="24.95" customHeight="1" outlineLevel="1" x14ac:dyDescent="0.3">
      <c r="B95" s="172"/>
      <c r="C95" s="157"/>
      <c r="D95" s="157"/>
      <c r="E95" s="157"/>
      <c r="F95" s="157"/>
      <c r="G95" s="173"/>
      <c r="H95" s="144"/>
      <c r="I95" s="131"/>
      <c r="J95" s="137"/>
      <c r="K95" s="137"/>
      <c r="L95" s="131"/>
      <c r="M95" s="72" t="s">
        <v>215</v>
      </c>
      <c r="N95" s="23">
        <v>46119</v>
      </c>
      <c r="O95" s="24" t="str">
        <f>IF(O94&gt;0,"초과","미달")</f>
        <v>초과</v>
      </c>
      <c r="P95" s="51">
        <f>$P94/$J94</f>
        <v>0.9</v>
      </c>
      <c r="Q95" s="52" t="s">
        <v>157</v>
      </c>
      <c r="R95" s="52" t="s">
        <v>157</v>
      </c>
      <c r="S95" s="190"/>
      <c r="T95" s="190"/>
      <c r="U95" s="40" t="s">
        <v>14</v>
      </c>
      <c r="V95" s="159"/>
      <c r="W95" s="66">
        <f>$W94/$V94</f>
        <v>1.0379746835443038</v>
      </c>
      <c r="X95" s="66">
        <f>X94/V94</f>
        <v>0.95088044485634837</v>
      </c>
      <c r="Y95" s="25" t="str">
        <f>IF((W94-X94)&lt;0,"미달","초과")</f>
        <v>초과</v>
      </c>
      <c r="Z95" s="135"/>
      <c r="AA95" s="137"/>
      <c r="AB95" s="41" t="s">
        <v>14</v>
      </c>
      <c r="AC95" s="63" t="str">
        <f>IFERROR(AC94-AB94,"-")</f>
        <v>-</v>
      </c>
      <c r="AD95" s="137"/>
      <c r="AE95" s="137"/>
      <c r="AF95" s="148"/>
      <c r="AG95" s="244"/>
      <c r="AH95" s="245"/>
      <c r="AI95" s="126"/>
      <c r="AJ95" s="127"/>
    </row>
    <row r="96" spans="2:36" s="46" customFormat="1" ht="24.95" customHeight="1" outlineLevel="1" x14ac:dyDescent="0.3">
      <c r="B96" s="172"/>
      <c r="C96" s="157"/>
      <c r="D96" s="157"/>
      <c r="E96" s="157"/>
      <c r="F96" s="157"/>
      <c r="G96" s="173"/>
      <c r="H96" s="143" t="s">
        <v>22</v>
      </c>
      <c r="I96" s="145">
        <v>0.85</v>
      </c>
      <c r="J96" s="136">
        <v>13</v>
      </c>
      <c r="K96" s="128" t="s">
        <v>103</v>
      </c>
      <c r="L96" s="130">
        <v>0.86399999999999999</v>
      </c>
      <c r="M96" s="15">
        <v>0.86699999999999999</v>
      </c>
      <c r="N96" s="15">
        <f>IF((((($I96-$L96)/($AD96-$Z96))*($N97-$Z96))+$L96)&gt;0.85,$I96,((($I96-$L96)/($AD96-$Z96))*($N97-$Z96))+$L96)</f>
        <v>0.84435020519835835</v>
      </c>
      <c r="O96" s="15">
        <f>M96-N96</f>
        <v>2.2649794801641643E-2</v>
      </c>
      <c r="P96" s="16">
        <v>13</v>
      </c>
      <c r="Q96" s="17" t="s">
        <v>14</v>
      </c>
      <c r="R96" s="18" t="s">
        <v>14</v>
      </c>
      <c r="S96" s="132" t="s">
        <v>14</v>
      </c>
      <c r="T96" s="132" t="s">
        <v>14</v>
      </c>
      <c r="U96" s="19" t="s">
        <v>14</v>
      </c>
      <c r="V96" s="158" t="s">
        <v>157</v>
      </c>
      <c r="W96" s="77" t="s">
        <v>157</v>
      </c>
      <c r="X96" s="78" t="s">
        <v>157</v>
      </c>
      <c r="Y96" s="79" t="s">
        <v>157</v>
      </c>
      <c r="Z96" s="138">
        <v>45093</v>
      </c>
      <c r="AA96" s="139">
        <v>46172</v>
      </c>
      <c r="AB96" s="57" t="s">
        <v>96</v>
      </c>
      <c r="AC96" s="82" t="s">
        <v>96</v>
      </c>
      <c r="AD96" s="139">
        <v>45824</v>
      </c>
      <c r="AE96" s="139">
        <v>46172</v>
      </c>
      <c r="AF96" s="147">
        <f ca="1">AD96-TODAY()</f>
        <v>-301</v>
      </c>
      <c r="AG96" s="120" t="s">
        <v>254</v>
      </c>
      <c r="AH96" s="121"/>
      <c r="AI96" s="242" t="s">
        <v>202</v>
      </c>
      <c r="AJ96" s="125"/>
    </row>
    <row r="97" spans="2:36" s="46" customFormat="1" ht="24.95" customHeight="1" outlineLevel="1" x14ac:dyDescent="0.3">
      <c r="B97" s="172"/>
      <c r="C97" s="157"/>
      <c r="D97" s="157"/>
      <c r="E97" s="157"/>
      <c r="F97" s="157"/>
      <c r="G97" s="173"/>
      <c r="H97" s="144"/>
      <c r="I97" s="146"/>
      <c r="J97" s="137"/>
      <c r="K97" s="129"/>
      <c r="L97" s="131"/>
      <c r="M97" s="72" t="s">
        <v>215</v>
      </c>
      <c r="N97" s="23">
        <v>46119</v>
      </c>
      <c r="O97" s="24" t="str">
        <f>IF(O96&gt;0,"초과","미달")</f>
        <v>초과</v>
      </c>
      <c r="P97" s="51">
        <f>$P96/$J96</f>
        <v>1</v>
      </c>
      <c r="Q97" s="52" t="s">
        <v>14</v>
      </c>
      <c r="R97" s="52" t="s">
        <v>14</v>
      </c>
      <c r="S97" s="133"/>
      <c r="T97" s="133"/>
      <c r="U97" s="25" t="s">
        <v>14</v>
      </c>
      <c r="V97" s="159"/>
      <c r="W97" s="66" t="s">
        <v>157</v>
      </c>
      <c r="X97" s="66" t="s">
        <v>157</v>
      </c>
      <c r="Y97" s="25" t="s">
        <v>157</v>
      </c>
      <c r="Z97" s="135"/>
      <c r="AA97" s="137"/>
      <c r="AB97" s="41" t="s">
        <v>14</v>
      </c>
      <c r="AC97" s="81" t="str">
        <f>IFERROR(AC96-AB96,"-")</f>
        <v>-</v>
      </c>
      <c r="AD97" s="137"/>
      <c r="AE97" s="137"/>
      <c r="AF97" s="148"/>
      <c r="AG97" s="122"/>
      <c r="AH97" s="123"/>
      <c r="AI97" s="126"/>
      <c r="AJ97" s="127"/>
    </row>
    <row r="98" spans="2:36" s="46" customFormat="1" ht="24.95" customHeight="1" outlineLevel="1" x14ac:dyDescent="0.3">
      <c r="B98" s="172"/>
      <c r="C98" s="157"/>
      <c r="D98" s="157"/>
      <c r="E98" s="157"/>
      <c r="F98" s="157"/>
      <c r="G98" s="173"/>
      <c r="H98" s="155" t="s">
        <v>23</v>
      </c>
      <c r="I98" s="156">
        <v>0.8</v>
      </c>
      <c r="J98" s="157">
        <v>7</v>
      </c>
      <c r="K98" s="128" t="s">
        <v>104</v>
      </c>
      <c r="L98" s="156">
        <v>0.66800000000000004</v>
      </c>
      <c r="M98" s="80">
        <v>0.85099999999999998</v>
      </c>
      <c r="N98" s="49">
        <f>IF((((($I98-$L98)/($AD98-$Z98))*($N99-$Z98))+$L98)&gt;I98,$I98,((($I98-$L98)/($AD98-$Z98))*($N99-$Z98))+$L98)</f>
        <v>0.8</v>
      </c>
      <c r="O98" s="49">
        <f>M98-N98</f>
        <v>5.0999999999999934E-2</v>
      </c>
      <c r="P98" s="30">
        <v>5</v>
      </c>
      <c r="Q98" s="28" t="s">
        <v>14</v>
      </c>
      <c r="R98" s="28" t="s">
        <v>14</v>
      </c>
      <c r="S98" s="189" t="s">
        <v>14</v>
      </c>
      <c r="T98" s="189" t="s">
        <v>14</v>
      </c>
      <c r="U98" s="31" t="s">
        <v>14</v>
      </c>
      <c r="V98" s="158" t="s">
        <v>157</v>
      </c>
      <c r="W98" s="77" t="s">
        <v>157</v>
      </c>
      <c r="X98" s="78" t="s">
        <v>157</v>
      </c>
      <c r="Y98" s="79" t="s">
        <v>157</v>
      </c>
      <c r="Z98" s="138">
        <v>45093</v>
      </c>
      <c r="AA98" s="139">
        <v>46172</v>
      </c>
      <c r="AB98" s="57" t="s">
        <v>96</v>
      </c>
      <c r="AC98" s="82" t="s">
        <v>96</v>
      </c>
      <c r="AD98" s="139">
        <v>45824</v>
      </c>
      <c r="AE98" s="139">
        <v>46172</v>
      </c>
      <c r="AF98" s="147">
        <f ca="1">AD98-TODAY()</f>
        <v>-301</v>
      </c>
      <c r="AG98" s="120" t="s">
        <v>255</v>
      </c>
      <c r="AH98" s="243"/>
      <c r="AI98" s="198"/>
      <c r="AJ98" s="199"/>
    </row>
    <row r="99" spans="2:36" s="46" customFormat="1" ht="24.95" customHeight="1" outlineLevel="1" x14ac:dyDescent="0.3">
      <c r="B99" s="135"/>
      <c r="C99" s="137"/>
      <c r="D99" s="137"/>
      <c r="E99" s="137"/>
      <c r="F99" s="137"/>
      <c r="G99" s="142"/>
      <c r="H99" s="144"/>
      <c r="I99" s="146"/>
      <c r="J99" s="137"/>
      <c r="K99" s="129"/>
      <c r="L99" s="146"/>
      <c r="M99" s="72" t="s">
        <v>215</v>
      </c>
      <c r="N99" s="23">
        <v>46119</v>
      </c>
      <c r="O99" s="24" t="str">
        <f>IF(O98&gt;0,"초과","미달")</f>
        <v>초과</v>
      </c>
      <c r="P99" s="51">
        <f>$P98/$J98</f>
        <v>0.7142857142857143</v>
      </c>
      <c r="Q99" s="58" t="s">
        <v>14</v>
      </c>
      <c r="R99" s="58" t="s">
        <v>14</v>
      </c>
      <c r="S99" s="190"/>
      <c r="T99" s="190"/>
      <c r="U99" s="40" t="s">
        <v>14</v>
      </c>
      <c r="V99" s="159"/>
      <c r="W99" s="66" t="s">
        <v>157</v>
      </c>
      <c r="X99" s="66" t="s">
        <v>157</v>
      </c>
      <c r="Y99" s="25" t="s">
        <v>157</v>
      </c>
      <c r="Z99" s="135"/>
      <c r="AA99" s="137"/>
      <c r="AB99" s="41" t="s">
        <v>14</v>
      </c>
      <c r="AC99" s="81" t="str">
        <f>IFERROR(AC98-AB98,"-")</f>
        <v>-</v>
      </c>
      <c r="AD99" s="137"/>
      <c r="AE99" s="137"/>
      <c r="AF99" s="148"/>
      <c r="AG99" s="244"/>
      <c r="AH99" s="245"/>
      <c r="AI99" s="165"/>
      <c r="AJ99" s="166"/>
    </row>
    <row r="100" spans="2:36" s="46" customFormat="1" ht="24.95" customHeight="1" outlineLevel="1" x14ac:dyDescent="0.3">
      <c r="B100" s="256">
        <v>4</v>
      </c>
      <c r="C100" s="259" t="s">
        <v>57</v>
      </c>
      <c r="D100" s="259" t="s">
        <v>58</v>
      </c>
      <c r="E100" s="259" t="s">
        <v>118</v>
      </c>
      <c r="F100" s="259" t="s">
        <v>48</v>
      </c>
      <c r="G100" s="263" t="s">
        <v>119</v>
      </c>
      <c r="H100" s="143" t="s">
        <v>22</v>
      </c>
      <c r="I100" s="145">
        <v>0.7</v>
      </c>
      <c r="J100" s="136">
        <v>13</v>
      </c>
      <c r="K100" s="128" t="s">
        <v>120</v>
      </c>
      <c r="L100" s="130">
        <v>0.498</v>
      </c>
      <c r="M100" s="15">
        <v>0.63100000000000001</v>
      </c>
      <c r="N100" s="15">
        <f>IF((((($I100-$L100)/($AD100-$Z100))*($N101-$Z100))+$L100)&gt;0.85,$I100,((($I100-$L100)/($AD100-$Z100))*($N101-$Z100))+$L100)</f>
        <v>0.7</v>
      </c>
      <c r="O100" s="15">
        <f>M100-N100</f>
        <v>-6.899999999999995E-2</v>
      </c>
      <c r="P100" s="16">
        <v>9</v>
      </c>
      <c r="Q100" s="17" t="s">
        <v>14</v>
      </c>
      <c r="R100" s="18" t="s">
        <v>14</v>
      </c>
      <c r="S100" s="132" t="s">
        <v>14</v>
      </c>
      <c r="T100" s="132" t="s">
        <v>14</v>
      </c>
      <c r="U100" s="19" t="s">
        <v>14</v>
      </c>
      <c r="V100" s="134" t="s">
        <v>14</v>
      </c>
      <c r="W100" s="136" t="s">
        <v>14</v>
      </c>
      <c r="X100" s="20" t="s">
        <v>14</v>
      </c>
      <c r="Y100" s="21" t="s">
        <v>14</v>
      </c>
      <c r="Z100" s="138">
        <v>45456</v>
      </c>
      <c r="AA100" s="139">
        <v>46365</v>
      </c>
      <c r="AB100" s="59">
        <v>46036</v>
      </c>
      <c r="AC100" s="59">
        <v>46216</v>
      </c>
      <c r="AD100" s="139">
        <v>45457</v>
      </c>
      <c r="AE100" s="139">
        <v>46365</v>
      </c>
      <c r="AF100" s="147">
        <f ca="1">AD100-TODAY()</f>
        <v>-668</v>
      </c>
      <c r="AG100" s="120" t="s">
        <v>184</v>
      </c>
      <c r="AH100" s="121"/>
      <c r="AI100" s="242" t="s">
        <v>185</v>
      </c>
      <c r="AJ100" s="125"/>
    </row>
    <row r="101" spans="2:36" s="46" customFormat="1" ht="24.95" customHeight="1" outlineLevel="1" x14ac:dyDescent="0.3">
      <c r="B101" s="257"/>
      <c r="C101" s="260"/>
      <c r="D101" s="260"/>
      <c r="E101" s="260"/>
      <c r="F101" s="260"/>
      <c r="G101" s="264"/>
      <c r="H101" s="144"/>
      <c r="I101" s="146"/>
      <c r="J101" s="137"/>
      <c r="K101" s="129"/>
      <c r="L101" s="131"/>
      <c r="M101" s="22" t="s">
        <v>215</v>
      </c>
      <c r="N101" s="23">
        <v>46119</v>
      </c>
      <c r="O101" s="24" t="str">
        <f>IF(O100&gt;0,"초과","미달")</f>
        <v>미달</v>
      </c>
      <c r="P101" s="51">
        <f>$P100/$J100</f>
        <v>0.69230769230769229</v>
      </c>
      <c r="Q101" s="52" t="s">
        <v>14</v>
      </c>
      <c r="R101" s="52" t="s">
        <v>14</v>
      </c>
      <c r="S101" s="133"/>
      <c r="T101" s="133"/>
      <c r="U101" s="25" t="s">
        <v>14</v>
      </c>
      <c r="V101" s="135"/>
      <c r="W101" s="137"/>
      <c r="X101" s="26" t="s">
        <v>14</v>
      </c>
      <c r="Y101" s="25" t="s">
        <v>14</v>
      </c>
      <c r="Z101" s="135"/>
      <c r="AA101" s="137"/>
      <c r="AB101" s="67" t="s">
        <v>94</v>
      </c>
      <c r="AC101" s="118">
        <f>AC100-AB100</f>
        <v>180</v>
      </c>
      <c r="AD101" s="188"/>
      <c r="AE101" s="137"/>
      <c r="AF101" s="148"/>
      <c r="AG101" s="122"/>
      <c r="AH101" s="123"/>
      <c r="AI101" s="126"/>
      <c r="AJ101" s="127"/>
    </row>
    <row r="102" spans="2:36" s="46" customFormat="1" ht="24.95" customHeight="1" outlineLevel="1" x14ac:dyDescent="0.3">
      <c r="B102" s="257"/>
      <c r="C102" s="260"/>
      <c r="D102" s="260"/>
      <c r="E102" s="260"/>
      <c r="F102" s="260"/>
      <c r="G102" s="264"/>
      <c r="H102" s="143" t="s">
        <v>23</v>
      </c>
      <c r="I102" s="145" t="s">
        <v>14</v>
      </c>
      <c r="J102" s="136" t="s">
        <v>14</v>
      </c>
      <c r="K102" s="136" t="s">
        <v>14</v>
      </c>
      <c r="L102" s="136" t="s">
        <v>14</v>
      </c>
      <c r="M102" s="27" t="s">
        <v>14</v>
      </c>
      <c r="N102" s="28" t="s">
        <v>14</v>
      </c>
      <c r="O102" s="29" t="s">
        <v>14</v>
      </c>
      <c r="P102" s="30" t="s">
        <v>14</v>
      </c>
      <c r="Q102" s="28" t="s">
        <v>14</v>
      </c>
      <c r="R102" s="28" t="s">
        <v>14</v>
      </c>
      <c r="S102" s="189" t="s">
        <v>14</v>
      </c>
      <c r="T102" s="189" t="s">
        <v>14</v>
      </c>
      <c r="U102" s="31" t="s">
        <v>14</v>
      </c>
      <c r="V102" s="134" t="s">
        <v>14</v>
      </c>
      <c r="W102" s="136" t="s">
        <v>14</v>
      </c>
      <c r="X102" s="27" t="s">
        <v>14</v>
      </c>
      <c r="Y102" s="32" t="s">
        <v>14</v>
      </c>
      <c r="Z102" s="134" t="s">
        <v>14</v>
      </c>
      <c r="AA102" s="136" t="s">
        <v>14</v>
      </c>
      <c r="AB102" s="62" t="s">
        <v>14</v>
      </c>
      <c r="AC102" s="62" t="s">
        <v>14</v>
      </c>
      <c r="AD102" s="136" t="s">
        <v>14</v>
      </c>
      <c r="AE102" s="136" t="s">
        <v>14</v>
      </c>
      <c r="AF102" s="193" t="s">
        <v>14</v>
      </c>
      <c r="AG102" s="266"/>
      <c r="AH102" s="192"/>
      <c r="AI102" s="163"/>
      <c r="AJ102" s="164"/>
    </row>
    <row r="103" spans="2:36" s="46" customFormat="1" ht="24.95" customHeight="1" outlineLevel="1" x14ac:dyDescent="0.3">
      <c r="B103" s="258"/>
      <c r="C103" s="261"/>
      <c r="D103" s="261"/>
      <c r="E103" s="261"/>
      <c r="F103" s="261"/>
      <c r="G103" s="265"/>
      <c r="H103" s="144"/>
      <c r="I103" s="146"/>
      <c r="J103" s="137"/>
      <c r="K103" s="137"/>
      <c r="L103" s="137"/>
      <c r="M103" s="72" t="s">
        <v>14</v>
      </c>
      <c r="N103" s="73" t="s">
        <v>14</v>
      </c>
      <c r="O103" s="74" t="s">
        <v>14</v>
      </c>
      <c r="P103" s="75" t="s">
        <v>14</v>
      </c>
      <c r="Q103" s="58" t="s">
        <v>14</v>
      </c>
      <c r="R103" s="58" t="s">
        <v>14</v>
      </c>
      <c r="S103" s="190"/>
      <c r="T103" s="190"/>
      <c r="U103" s="40" t="s">
        <v>14</v>
      </c>
      <c r="V103" s="135"/>
      <c r="W103" s="137"/>
      <c r="X103" s="41" t="s">
        <v>14</v>
      </c>
      <c r="Y103" s="40" t="s">
        <v>14</v>
      </c>
      <c r="Z103" s="135"/>
      <c r="AA103" s="137"/>
      <c r="AB103" s="41" t="s">
        <v>14</v>
      </c>
      <c r="AC103" s="58" t="s">
        <v>14</v>
      </c>
      <c r="AD103" s="137"/>
      <c r="AE103" s="137"/>
      <c r="AF103" s="194"/>
      <c r="AG103" s="197"/>
      <c r="AH103" s="161"/>
      <c r="AI103" s="165"/>
      <c r="AJ103" s="166"/>
    </row>
    <row r="104" spans="2:36" ht="23.25" outlineLevel="1" x14ac:dyDescent="0.3">
      <c r="B104" s="172">
        <v>5</v>
      </c>
      <c r="C104" s="157" t="s">
        <v>57</v>
      </c>
      <c r="D104" s="157" t="s">
        <v>61</v>
      </c>
      <c r="E104" s="157" t="s">
        <v>118</v>
      </c>
      <c r="F104" s="157" t="s">
        <v>48</v>
      </c>
      <c r="G104" s="173" t="s">
        <v>153</v>
      </c>
      <c r="H104" s="155" t="s">
        <v>22</v>
      </c>
      <c r="I104" s="156">
        <v>0.85</v>
      </c>
      <c r="J104" s="157">
        <v>5</v>
      </c>
      <c r="K104" s="191" t="s">
        <v>154</v>
      </c>
      <c r="L104" s="186">
        <v>0.85</v>
      </c>
      <c r="M104" s="49">
        <v>0.84699999999999998</v>
      </c>
      <c r="N104" s="49">
        <f>IF((((($I104-$L104)/($AD104-$Z104))*($N105-$Z104))+$L104)&gt;0.85,$I104,((($I104-$L104)/($AD104-$Z104))*($N105-$Z104))+$L104)</f>
        <v>0.85</v>
      </c>
      <c r="O104" s="49">
        <f>M104-N104</f>
        <v>-3.0000000000000027E-3</v>
      </c>
      <c r="P104" s="30">
        <v>5</v>
      </c>
      <c r="Q104" s="50" t="s">
        <v>14</v>
      </c>
      <c r="R104" s="64" t="s">
        <v>14</v>
      </c>
      <c r="S104" s="200" t="s">
        <v>14</v>
      </c>
      <c r="T104" s="200" t="s">
        <v>14</v>
      </c>
      <c r="U104" s="31" t="s">
        <v>14</v>
      </c>
      <c r="V104" s="172">
        <v>70</v>
      </c>
      <c r="W104" s="70">
        <v>111</v>
      </c>
      <c r="X104" s="68">
        <f>($V104/($AA104-$Z104))*($N105-$Z104)</f>
        <v>61.566265060240958</v>
      </c>
      <c r="Y104" s="69">
        <f>IF((W104-X104)&lt;0,(X104-W104),(W104-X104))</f>
        <v>49.433734939759042</v>
      </c>
      <c r="Z104" s="187">
        <v>45170</v>
      </c>
      <c r="AA104" s="171">
        <v>46249</v>
      </c>
      <c r="AB104" s="65" t="s">
        <v>139</v>
      </c>
      <c r="AC104" s="65" t="s">
        <v>139</v>
      </c>
      <c r="AD104" s="171">
        <v>45171</v>
      </c>
      <c r="AE104" s="171">
        <v>46249</v>
      </c>
      <c r="AF104" s="149">
        <f ca="1">AD104-TODAY()</f>
        <v>-954</v>
      </c>
      <c r="AG104" s="120" t="s">
        <v>214</v>
      </c>
      <c r="AH104" s="121"/>
      <c r="AI104" s="209" t="s">
        <v>212</v>
      </c>
      <c r="AJ104" s="210"/>
    </row>
    <row r="105" spans="2:36" ht="23.25" outlineLevel="1" x14ac:dyDescent="0.3">
      <c r="B105" s="172"/>
      <c r="C105" s="157"/>
      <c r="D105" s="157"/>
      <c r="E105" s="157"/>
      <c r="F105" s="157"/>
      <c r="G105" s="173"/>
      <c r="H105" s="144"/>
      <c r="I105" s="146"/>
      <c r="J105" s="137"/>
      <c r="K105" s="129"/>
      <c r="L105" s="131"/>
      <c r="M105" s="22" t="s">
        <v>198</v>
      </c>
      <c r="N105" s="23">
        <v>46119</v>
      </c>
      <c r="O105" s="24" t="str">
        <f>IF(O104&gt;0,"초과","미달")</f>
        <v>미달</v>
      </c>
      <c r="P105" s="51">
        <f>$P104/$J104</f>
        <v>1</v>
      </c>
      <c r="Q105" s="52" t="s">
        <v>14</v>
      </c>
      <c r="R105" s="52" t="s">
        <v>14</v>
      </c>
      <c r="S105" s="133"/>
      <c r="T105" s="133"/>
      <c r="U105" s="25" t="s">
        <v>14</v>
      </c>
      <c r="V105" s="135"/>
      <c r="W105" s="66">
        <f>$W104/$V104</f>
        <v>1.5857142857142856</v>
      </c>
      <c r="X105" s="66">
        <f>X104/V104</f>
        <v>0.87951807228915657</v>
      </c>
      <c r="Y105" s="25" t="str">
        <f>IF((W104-X104)&lt;0,"미달","초과")</f>
        <v>초과</v>
      </c>
      <c r="Z105" s="135"/>
      <c r="AA105" s="137"/>
      <c r="AB105" s="41" t="s">
        <v>14</v>
      </c>
      <c r="AC105" s="63" t="s">
        <v>139</v>
      </c>
      <c r="AD105" s="188"/>
      <c r="AE105" s="137"/>
      <c r="AF105" s="148"/>
      <c r="AG105" s="122"/>
      <c r="AH105" s="123"/>
      <c r="AI105" s="126"/>
      <c r="AJ105" s="127"/>
    </row>
    <row r="106" spans="2:36" ht="23.25" outlineLevel="1" x14ac:dyDescent="0.3">
      <c r="B106" s="172"/>
      <c r="C106" s="157"/>
      <c r="D106" s="157"/>
      <c r="E106" s="157"/>
      <c r="F106" s="157"/>
      <c r="G106" s="173"/>
      <c r="H106" s="143" t="s">
        <v>23</v>
      </c>
      <c r="I106" s="145" t="s">
        <v>14</v>
      </c>
      <c r="J106" s="136" t="s">
        <v>14</v>
      </c>
      <c r="K106" s="136" t="s">
        <v>14</v>
      </c>
      <c r="L106" s="136" t="s">
        <v>14</v>
      </c>
      <c r="M106" s="27" t="s">
        <v>14</v>
      </c>
      <c r="N106" s="28" t="s">
        <v>14</v>
      </c>
      <c r="O106" s="29" t="s">
        <v>14</v>
      </c>
      <c r="P106" s="30" t="s">
        <v>14</v>
      </c>
      <c r="Q106" s="28" t="s">
        <v>14</v>
      </c>
      <c r="R106" s="28" t="s">
        <v>14</v>
      </c>
      <c r="S106" s="189" t="s">
        <v>14</v>
      </c>
      <c r="T106" s="189" t="s">
        <v>14</v>
      </c>
      <c r="U106" s="31" t="s">
        <v>14</v>
      </c>
      <c r="V106" s="134" t="s">
        <v>14</v>
      </c>
      <c r="W106" s="136" t="s">
        <v>14</v>
      </c>
      <c r="X106" s="27" t="s">
        <v>14</v>
      </c>
      <c r="Y106" s="32" t="s">
        <v>14</v>
      </c>
      <c r="Z106" s="134" t="s">
        <v>14</v>
      </c>
      <c r="AA106" s="136" t="s">
        <v>14</v>
      </c>
      <c r="AB106" s="62" t="s">
        <v>14</v>
      </c>
      <c r="AC106" s="62" t="s">
        <v>14</v>
      </c>
      <c r="AD106" s="136" t="s">
        <v>14</v>
      </c>
      <c r="AE106" s="136" t="s">
        <v>14</v>
      </c>
      <c r="AF106" s="193" t="s">
        <v>14</v>
      </c>
      <c r="AG106" s="266"/>
      <c r="AH106" s="192"/>
      <c r="AI106" s="163"/>
      <c r="AJ106" s="164"/>
    </row>
    <row r="107" spans="2:36" ht="24" outlineLevel="1" thickBot="1" x14ac:dyDescent="0.35">
      <c r="B107" s="250"/>
      <c r="C107" s="248"/>
      <c r="D107" s="248"/>
      <c r="E107" s="248"/>
      <c r="F107" s="248"/>
      <c r="G107" s="262"/>
      <c r="H107" s="246"/>
      <c r="I107" s="247"/>
      <c r="J107" s="248"/>
      <c r="K107" s="248"/>
      <c r="L107" s="248"/>
      <c r="M107" s="33" t="s">
        <v>14</v>
      </c>
      <c r="N107" s="53" t="s">
        <v>14</v>
      </c>
      <c r="O107" s="54" t="s">
        <v>14</v>
      </c>
      <c r="P107" s="34" t="s">
        <v>14</v>
      </c>
      <c r="Q107" s="35" t="s">
        <v>14</v>
      </c>
      <c r="R107" s="35" t="s">
        <v>14</v>
      </c>
      <c r="S107" s="249"/>
      <c r="T107" s="249"/>
      <c r="U107" s="36" t="s">
        <v>14</v>
      </c>
      <c r="V107" s="250"/>
      <c r="W107" s="248"/>
      <c r="X107" s="37" t="s">
        <v>14</v>
      </c>
      <c r="Y107" s="36" t="s">
        <v>14</v>
      </c>
      <c r="Z107" s="250"/>
      <c r="AA107" s="248"/>
      <c r="AB107" s="37" t="s">
        <v>14</v>
      </c>
      <c r="AC107" s="35" t="s">
        <v>14</v>
      </c>
      <c r="AD107" s="248"/>
      <c r="AE107" s="248"/>
      <c r="AF107" s="252"/>
      <c r="AG107" s="253"/>
      <c r="AH107" s="251"/>
      <c r="AI107" s="254"/>
      <c r="AJ107" s="255"/>
    </row>
    <row r="111" spans="2:36" x14ac:dyDescent="0.3">
      <c r="O111" s="279">
        <f ca="1">O11/AF11</f>
        <v>-2.0725940725940684E-3</v>
      </c>
    </row>
    <row r="112" spans="2:36" x14ac:dyDescent="0.3">
      <c r="O112" s="279">
        <f ca="1">O15/AF15</f>
        <v>5.8974358974358979E-4</v>
      </c>
    </row>
    <row r="113" spans="15:15" x14ac:dyDescent="0.3">
      <c r="O113" s="279">
        <f ca="1">O71/AF71</f>
        <v>-6.0560146923782643E-4</v>
      </c>
    </row>
    <row r="114" spans="15:15" x14ac:dyDescent="0.3">
      <c r="O114" s="279">
        <f ca="1">O100/AF100</f>
        <v>1.0329341317365261E-4</v>
      </c>
    </row>
  </sheetData>
  <autoFilter ref="B5:AJ107" xr:uid="{771B0562-5677-4BBE-BBAE-54EF0A4DC3F7}">
    <filterColumn colId="31" showButton="0"/>
    <filterColumn colId="33" showButton="0"/>
  </autoFilter>
  <mergeCells count="946">
    <mergeCell ref="AF81:AF82"/>
    <mergeCell ref="AG81:AH82"/>
    <mergeCell ref="AI81:AJ82"/>
    <mergeCell ref="H83:H84"/>
    <mergeCell ref="I83:I84"/>
    <mergeCell ref="J83:J84"/>
    <mergeCell ref="K83:K84"/>
    <mergeCell ref="L83:L84"/>
    <mergeCell ref="S83:S84"/>
    <mergeCell ref="T83:T84"/>
    <mergeCell ref="V83:V84"/>
    <mergeCell ref="Z83:Z84"/>
    <mergeCell ref="AA83:AA84"/>
    <mergeCell ref="AD83:AD84"/>
    <mergeCell ref="AE83:AE84"/>
    <mergeCell ref="AF83:AF84"/>
    <mergeCell ref="AG83:AH84"/>
    <mergeCell ref="AI83:AJ84"/>
    <mergeCell ref="K81:K82"/>
    <mergeCell ref="L81:L82"/>
    <mergeCell ref="S81:S82"/>
    <mergeCell ref="T81:T82"/>
    <mergeCell ref="V81:V82"/>
    <mergeCell ref="Z81:Z82"/>
    <mergeCell ref="AA81:AA82"/>
    <mergeCell ref="AD81:AD82"/>
    <mergeCell ref="AE81:AE82"/>
    <mergeCell ref="B81:B84"/>
    <mergeCell ref="C81:C84"/>
    <mergeCell ref="D81:D84"/>
    <mergeCell ref="E81:E84"/>
    <mergeCell ref="F81:F84"/>
    <mergeCell ref="G81:G84"/>
    <mergeCell ref="H81:H82"/>
    <mergeCell ref="I81:I82"/>
    <mergeCell ref="J81:J82"/>
    <mergeCell ref="AE54:AE55"/>
    <mergeCell ref="AF54:AF55"/>
    <mergeCell ref="AG54:AH55"/>
    <mergeCell ref="AI54:AJ55"/>
    <mergeCell ref="K54:K55"/>
    <mergeCell ref="L54:L55"/>
    <mergeCell ref="S54:S55"/>
    <mergeCell ref="T54:T55"/>
    <mergeCell ref="V54:V55"/>
    <mergeCell ref="Z54:Z55"/>
    <mergeCell ref="AA54:AA55"/>
    <mergeCell ref="AD54:AD55"/>
    <mergeCell ref="B54:B55"/>
    <mergeCell ref="C54:C55"/>
    <mergeCell ref="D54:D55"/>
    <mergeCell ref="E54:E55"/>
    <mergeCell ref="F54:F55"/>
    <mergeCell ref="G54:G55"/>
    <mergeCell ref="H54:H55"/>
    <mergeCell ref="I54:I55"/>
    <mergeCell ref="J54:J55"/>
    <mergeCell ref="AF77:AF78"/>
    <mergeCell ref="AG77:AH78"/>
    <mergeCell ref="AI77:AJ78"/>
    <mergeCell ref="H79:H80"/>
    <mergeCell ref="I79:I80"/>
    <mergeCell ref="J79:J80"/>
    <mergeCell ref="K79:K80"/>
    <mergeCell ref="L79:L80"/>
    <mergeCell ref="S79:S80"/>
    <mergeCell ref="T79:T80"/>
    <mergeCell ref="V79:V80"/>
    <mergeCell ref="Z79:Z80"/>
    <mergeCell ref="AA79:AA80"/>
    <mergeCell ref="AD79:AD80"/>
    <mergeCell ref="AE79:AE80"/>
    <mergeCell ref="AF79:AF80"/>
    <mergeCell ref="AG79:AH80"/>
    <mergeCell ref="AI79:AJ80"/>
    <mergeCell ref="K77:K78"/>
    <mergeCell ref="L77:L78"/>
    <mergeCell ref="S77:S78"/>
    <mergeCell ref="T77:T78"/>
    <mergeCell ref="V77:V78"/>
    <mergeCell ref="Z77:Z78"/>
    <mergeCell ref="AA77:AA78"/>
    <mergeCell ref="AD77:AD78"/>
    <mergeCell ref="AE77:AE78"/>
    <mergeCell ref="B77:B80"/>
    <mergeCell ref="C77:C80"/>
    <mergeCell ref="D77:D80"/>
    <mergeCell ref="E77:E80"/>
    <mergeCell ref="F77:F80"/>
    <mergeCell ref="G77:G80"/>
    <mergeCell ref="H77:H78"/>
    <mergeCell ref="I77:I78"/>
    <mergeCell ref="J77:J78"/>
    <mergeCell ref="K94:K95"/>
    <mergeCell ref="L94:L95"/>
    <mergeCell ref="Z94:Z95"/>
    <mergeCell ref="AA94:AA95"/>
    <mergeCell ref="AD94:AD95"/>
    <mergeCell ref="AE94:AE95"/>
    <mergeCell ref="AF94:AF95"/>
    <mergeCell ref="AG94:AH95"/>
    <mergeCell ref="AI94:AJ95"/>
    <mergeCell ref="V94:V95"/>
    <mergeCell ref="S94:S95"/>
    <mergeCell ref="T94:T95"/>
    <mergeCell ref="AE104:AE105"/>
    <mergeCell ref="AF104:AF105"/>
    <mergeCell ref="AG104:AH105"/>
    <mergeCell ref="AI104:AJ105"/>
    <mergeCell ref="H106:H107"/>
    <mergeCell ref="I106:I107"/>
    <mergeCell ref="J106:J107"/>
    <mergeCell ref="K106:K107"/>
    <mergeCell ref="L106:L107"/>
    <mergeCell ref="S106:S107"/>
    <mergeCell ref="T106:T107"/>
    <mergeCell ref="V106:V107"/>
    <mergeCell ref="W106:W107"/>
    <mergeCell ref="Z106:Z107"/>
    <mergeCell ref="AA106:AA107"/>
    <mergeCell ref="AD106:AD107"/>
    <mergeCell ref="AE106:AE107"/>
    <mergeCell ref="AF106:AF107"/>
    <mergeCell ref="AG106:AH107"/>
    <mergeCell ref="AI106:AJ107"/>
    <mergeCell ref="K104:K105"/>
    <mergeCell ref="L104:L105"/>
    <mergeCell ref="S104:S105"/>
    <mergeCell ref="T104:T105"/>
    <mergeCell ref="V104:V105"/>
    <mergeCell ref="Z104:Z105"/>
    <mergeCell ref="AA104:AA105"/>
    <mergeCell ref="AD104:AD105"/>
    <mergeCell ref="B104:B107"/>
    <mergeCell ref="C104:C107"/>
    <mergeCell ref="D104:D107"/>
    <mergeCell ref="E104:E107"/>
    <mergeCell ref="F104:F107"/>
    <mergeCell ref="G104:G107"/>
    <mergeCell ref="H104:H105"/>
    <mergeCell ref="I104:I105"/>
    <mergeCell ref="J104:J105"/>
    <mergeCell ref="AF48:AF49"/>
    <mergeCell ref="AG48:AH49"/>
    <mergeCell ref="AI48:AJ49"/>
    <mergeCell ref="H50:H51"/>
    <mergeCell ref="I50:I51"/>
    <mergeCell ref="J50:J51"/>
    <mergeCell ref="K50:K51"/>
    <mergeCell ref="L50:L51"/>
    <mergeCell ref="S50:S51"/>
    <mergeCell ref="T50:T51"/>
    <mergeCell ref="V50:V51"/>
    <mergeCell ref="W50:W51"/>
    <mergeCell ref="Z50:Z51"/>
    <mergeCell ref="AA50:AA51"/>
    <mergeCell ref="AD50:AD51"/>
    <mergeCell ref="AE50:AE51"/>
    <mergeCell ref="AF50:AF51"/>
    <mergeCell ref="AG50:AH51"/>
    <mergeCell ref="AI50:AJ51"/>
    <mergeCell ref="K48:K49"/>
    <mergeCell ref="L48:L49"/>
    <mergeCell ref="S48:S49"/>
    <mergeCell ref="T48:T49"/>
    <mergeCell ref="V48:V49"/>
    <mergeCell ref="Z48:Z49"/>
    <mergeCell ref="AA48:AA49"/>
    <mergeCell ref="AD48:AD49"/>
    <mergeCell ref="AE48:AE49"/>
    <mergeCell ref="B48:B51"/>
    <mergeCell ref="C48:C51"/>
    <mergeCell ref="D48:D51"/>
    <mergeCell ref="E48:E51"/>
    <mergeCell ref="F48:F51"/>
    <mergeCell ref="G48:G51"/>
    <mergeCell ref="H48:H49"/>
    <mergeCell ref="I48:I49"/>
    <mergeCell ref="J48:J49"/>
    <mergeCell ref="AF44:AF45"/>
    <mergeCell ref="AG44:AH45"/>
    <mergeCell ref="AI44:AJ45"/>
    <mergeCell ref="H46:H47"/>
    <mergeCell ref="I46:I47"/>
    <mergeCell ref="J46:J47"/>
    <mergeCell ref="K46:K47"/>
    <mergeCell ref="L46:L47"/>
    <mergeCell ref="S46:S47"/>
    <mergeCell ref="T46:T47"/>
    <mergeCell ref="V46:V47"/>
    <mergeCell ref="W46:W47"/>
    <mergeCell ref="Z46:Z47"/>
    <mergeCell ref="AA46:AA47"/>
    <mergeCell ref="AD46:AD47"/>
    <mergeCell ref="AE46:AE47"/>
    <mergeCell ref="AF46:AF47"/>
    <mergeCell ref="AG46:AH47"/>
    <mergeCell ref="AI46:AJ47"/>
    <mergeCell ref="K44:K45"/>
    <mergeCell ref="L44:L45"/>
    <mergeCell ref="S44:S45"/>
    <mergeCell ref="T44:T45"/>
    <mergeCell ref="V44:V45"/>
    <mergeCell ref="Z44:Z45"/>
    <mergeCell ref="AA44:AA45"/>
    <mergeCell ref="AD44:AD45"/>
    <mergeCell ref="AE44:AE45"/>
    <mergeCell ref="B44:B47"/>
    <mergeCell ref="C44:C47"/>
    <mergeCell ref="D44:D47"/>
    <mergeCell ref="E44:E47"/>
    <mergeCell ref="F44:F47"/>
    <mergeCell ref="G44:G47"/>
    <mergeCell ref="H44:H45"/>
    <mergeCell ref="I44:I45"/>
    <mergeCell ref="J44:J45"/>
    <mergeCell ref="AF40:AF41"/>
    <mergeCell ref="AG40:AH41"/>
    <mergeCell ref="AI40:AJ41"/>
    <mergeCell ref="H42:H43"/>
    <mergeCell ref="I42:I43"/>
    <mergeCell ref="J42:J43"/>
    <mergeCell ref="K42:K43"/>
    <mergeCell ref="L42:L43"/>
    <mergeCell ref="S42:S43"/>
    <mergeCell ref="T42:T43"/>
    <mergeCell ref="V42:V43"/>
    <mergeCell ref="Z42:Z43"/>
    <mergeCell ref="AA42:AA43"/>
    <mergeCell ref="AD42:AD43"/>
    <mergeCell ref="AE42:AE43"/>
    <mergeCell ref="AF42:AF43"/>
    <mergeCell ref="AG42:AH43"/>
    <mergeCell ref="AI42:AJ43"/>
    <mergeCell ref="K40:K41"/>
    <mergeCell ref="L40:L41"/>
    <mergeCell ref="S40:S41"/>
    <mergeCell ref="T40:T41"/>
    <mergeCell ref="V40:V41"/>
    <mergeCell ref="Z40:Z41"/>
    <mergeCell ref="AA40:AA41"/>
    <mergeCell ref="AD40:AD41"/>
    <mergeCell ref="AE40:AE41"/>
    <mergeCell ref="B40:B43"/>
    <mergeCell ref="C40:C43"/>
    <mergeCell ref="D40:D43"/>
    <mergeCell ref="E40:E43"/>
    <mergeCell ref="F40:F43"/>
    <mergeCell ref="G40:G43"/>
    <mergeCell ref="H40:H41"/>
    <mergeCell ref="I40:I41"/>
    <mergeCell ref="J40:J41"/>
    <mergeCell ref="AG73:AH74"/>
    <mergeCell ref="AI73:AJ74"/>
    <mergeCell ref="H75:H76"/>
    <mergeCell ref="I75:I76"/>
    <mergeCell ref="J75:J76"/>
    <mergeCell ref="K75:K76"/>
    <mergeCell ref="L75:L76"/>
    <mergeCell ref="N75:N76"/>
    <mergeCell ref="O75:O76"/>
    <mergeCell ref="S75:S76"/>
    <mergeCell ref="T75:T76"/>
    <mergeCell ref="V75:V76"/>
    <mergeCell ref="Z75:Z76"/>
    <mergeCell ref="AA75:AA76"/>
    <mergeCell ref="AD75:AD76"/>
    <mergeCell ref="AE75:AE76"/>
    <mergeCell ref="AF75:AF76"/>
    <mergeCell ref="AG75:AH76"/>
    <mergeCell ref="AI75:AJ76"/>
    <mergeCell ref="AF38:AF39"/>
    <mergeCell ref="AG38:AH39"/>
    <mergeCell ref="AI38:AJ39"/>
    <mergeCell ref="B73:B76"/>
    <mergeCell ref="C73:C76"/>
    <mergeCell ref="D73:D76"/>
    <mergeCell ref="E73:E76"/>
    <mergeCell ref="F73:F76"/>
    <mergeCell ref="G73:G76"/>
    <mergeCell ref="H73:H74"/>
    <mergeCell ref="I73:I74"/>
    <mergeCell ref="J73:J74"/>
    <mergeCell ref="K73:K74"/>
    <mergeCell ref="L73:L74"/>
    <mergeCell ref="S73:S74"/>
    <mergeCell ref="T73:T74"/>
    <mergeCell ref="V73:V74"/>
    <mergeCell ref="Z73:Z74"/>
    <mergeCell ref="AA73:AA74"/>
    <mergeCell ref="AD73:AD74"/>
    <mergeCell ref="AE73:AE74"/>
    <mergeCell ref="K38:K39"/>
    <mergeCell ref="L38:L39"/>
    <mergeCell ref="AF73:AF74"/>
    <mergeCell ref="S38:S39"/>
    <mergeCell ref="T38:T39"/>
    <mergeCell ref="V38:V39"/>
    <mergeCell ref="Z38:Z39"/>
    <mergeCell ref="AA38:AA39"/>
    <mergeCell ref="AD38:AD39"/>
    <mergeCell ref="AE38:AE39"/>
    <mergeCell ref="B38:B39"/>
    <mergeCell ref="C38:C39"/>
    <mergeCell ref="D38:D39"/>
    <mergeCell ref="E38:E39"/>
    <mergeCell ref="F38:F39"/>
    <mergeCell ref="G38:G39"/>
    <mergeCell ref="H38:H39"/>
    <mergeCell ref="I38:I39"/>
    <mergeCell ref="J38:J39"/>
    <mergeCell ref="AI69:AJ70"/>
    <mergeCell ref="H71:H72"/>
    <mergeCell ref="I71:I72"/>
    <mergeCell ref="J71:J72"/>
    <mergeCell ref="K71:K72"/>
    <mergeCell ref="L71:L72"/>
    <mergeCell ref="S71:S72"/>
    <mergeCell ref="T71:T72"/>
    <mergeCell ref="V71:V72"/>
    <mergeCell ref="Z71:Z72"/>
    <mergeCell ref="AA71:AA72"/>
    <mergeCell ref="AD71:AD72"/>
    <mergeCell ref="AE71:AE72"/>
    <mergeCell ref="AF71:AF72"/>
    <mergeCell ref="AG71:AH72"/>
    <mergeCell ref="AI71:AJ72"/>
    <mergeCell ref="B85:AJ85"/>
    <mergeCell ref="B69:B72"/>
    <mergeCell ref="C69:C72"/>
    <mergeCell ref="D69:D72"/>
    <mergeCell ref="E69:E72"/>
    <mergeCell ref="F69:F72"/>
    <mergeCell ref="G69:G72"/>
    <mergeCell ref="H69:H70"/>
    <mergeCell ref="I69:I70"/>
    <mergeCell ref="J69:J70"/>
    <mergeCell ref="K69:K70"/>
    <mergeCell ref="L69:L70"/>
    <mergeCell ref="N69:N70"/>
    <mergeCell ref="O69:O70"/>
    <mergeCell ref="S69:S70"/>
    <mergeCell ref="T69:T70"/>
    <mergeCell ref="V69:V70"/>
    <mergeCell ref="W69:W70"/>
    <mergeCell ref="Z69:Z70"/>
    <mergeCell ref="AA69:AA70"/>
    <mergeCell ref="AD69:AD70"/>
    <mergeCell ref="AE69:AE70"/>
    <mergeCell ref="AF69:AF70"/>
    <mergeCell ref="AG69:AH70"/>
    <mergeCell ref="AD102:AD103"/>
    <mergeCell ref="AE102:AE103"/>
    <mergeCell ref="AF100:AF101"/>
    <mergeCell ref="AG100:AH101"/>
    <mergeCell ref="AI100:AJ101"/>
    <mergeCell ref="L102:L103"/>
    <mergeCell ref="T102:T103"/>
    <mergeCell ref="W102:W103"/>
    <mergeCell ref="AA102:AA103"/>
    <mergeCell ref="AF102:AF103"/>
    <mergeCell ref="AG102:AH103"/>
    <mergeCell ref="AI102:AJ103"/>
    <mergeCell ref="AD100:AD101"/>
    <mergeCell ref="AE100:AE101"/>
    <mergeCell ref="AA100:AA101"/>
    <mergeCell ref="G100:G103"/>
    <mergeCell ref="L100:L101"/>
    <mergeCell ref="T100:T101"/>
    <mergeCell ref="W100:W101"/>
    <mergeCell ref="J100:J101"/>
    <mergeCell ref="K100:K101"/>
    <mergeCell ref="S100:S101"/>
    <mergeCell ref="V100:V101"/>
    <mergeCell ref="Z100:Z101"/>
    <mergeCell ref="H102:H103"/>
    <mergeCell ref="I102:I103"/>
    <mergeCell ref="J102:J103"/>
    <mergeCell ref="K102:K103"/>
    <mergeCell ref="S102:S103"/>
    <mergeCell ref="V102:V103"/>
    <mergeCell ref="Z102:Z103"/>
    <mergeCell ref="B100:B103"/>
    <mergeCell ref="C100:C103"/>
    <mergeCell ref="D100:D103"/>
    <mergeCell ref="E100:E103"/>
    <mergeCell ref="F100:F103"/>
    <mergeCell ref="H100:H101"/>
    <mergeCell ref="I100:I101"/>
    <mergeCell ref="AE19:AE20"/>
    <mergeCell ref="AF19:AF20"/>
    <mergeCell ref="Z19:Z20"/>
    <mergeCell ref="AA19:AA20"/>
    <mergeCell ref="AD19:AD20"/>
    <mergeCell ref="B19:B22"/>
    <mergeCell ref="C19:C22"/>
    <mergeCell ref="D19:D22"/>
    <mergeCell ref="E19:E22"/>
    <mergeCell ref="F19:F22"/>
    <mergeCell ref="G19:G22"/>
    <mergeCell ref="H19:H20"/>
    <mergeCell ref="I19:I20"/>
    <mergeCell ref="J19:J20"/>
    <mergeCell ref="AE96:AE97"/>
    <mergeCell ref="AF96:AF97"/>
    <mergeCell ref="AD96:AD97"/>
    <mergeCell ref="AG19:AH20"/>
    <mergeCell ref="AI19:AJ20"/>
    <mergeCell ref="H21:H22"/>
    <mergeCell ref="I21:I22"/>
    <mergeCell ref="J21:J22"/>
    <mergeCell ref="K21:K22"/>
    <mergeCell ref="L21:L22"/>
    <mergeCell ref="S21:S22"/>
    <mergeCell ref="T21:T22"/>
    <mergeCell ref="V21:V22"/>
    <mergeCell ref="W21:W22"/>
    <mergeCell ref="Z21:Z22"/>
    <mergeCell ref="AA21:AA22"/>
    <mergeCell ref="AD21:AD22"/>
    <mergeCell ref="AE21:AE22"/>
    <mergeCell ref="AF21:AF22"/>
    <mergeCell ref="AG21:AH22"/>
    <mergeCell ref="AI21:AJ22"/>
    <mergeCell ref="K19:K20"/>
    <mergeCell ref="L19:L20"/>
    <mergeCell ref="S19:S20"/>
    <mergeCell ref="T19:T20"/>
    <mergeCell ref="V19:V20"/>
    <mergeCell ref="W19:W20"/>
    <mergeCell ref="AE15:AE16"/>
    <mergeCell ref="AF15:AF16"/>
    <mergeCell ref="AG15:AH16"/>
    <mergeCell ref="AI15:AJ16"/>
    <mergeCell ref="H17:H18"/>
    <mergeCell ref="I17:I18"/>
    <mergeCell ref="J17:J18"/>
    <mergeCell ref="K17:K18"/>
    <mergeCell ref="L17:L18"/>
    <mergeCell ref="S17:S18"/>
    <mergeCell ref="T17:T18"/>
    <mergeCell ref="V17:V18"/>
    <mergeCell ref="W17:W18"/>
    <mergeCell ref="Z17:Z18"/>
    <mergeCell ref="AA17:AA18"/>
    <mergeCell ref="AD17:AD18"/>
    <mergeCell ref="AE17:AE18"/>
    <mergeCell ref="AF17:AF18"/>
    <mergeCell ref="AG17:AH18"/>
    <mergeCell ref="AI17:AJ18"/>
    <mergeCell ref="K15:K16"/>
    <mergeCell ref="L15:L16"/>
    <mergeCell ref="S15:S16"/>
    <mergeCell ref="T15:T16"/>
    <mergeCell ref="V15:V16"/>
    <mergeCell ref="W15:W16"/>
    <mergeCell ref="Z15:Z16"/>
    <mergeCell ref="AA15:AA16"/>
    <mergeCell ref="AD15:AD16"/>
    <mergeCell ref="B15:B18"/>
    <mergeCell ref="C15:C18"/>
    <mergeCell ref="D15:D18"/>
    <mergeCell ref="E15:E18"/>
    <mergeCell ref="F15:F18"/>
    <mergeCell ref="G15:G18"/>
    <mergeCell ref="H15:H16"/>
    <mergeCell ref="I15:I16"/>
    <mergeCell ref="J15:J16"/>
    <mergeCell ref="AE11:AE12"/>
    <mergeCell ref="AF11:AF12"/>
    <mergeCell ref="AG11:AH12"/>
    <mergeCell ref="AI11:AJ12"/>
    <mergeCell ref="H13:H14"/>
    <mergeCell ref="I13:I14"/>
    <mergeCell ref="J13:J14"/>
    <mergeCell ref="K13:K14"/>
    <mergeCell ref="L13:L14"/>
    <mergeCell ref="S13:S14"/>
    <mergeCell ref="T13:T14"/>
    <mergeCell ref="V13:V14"/>
    <mergeCell ref="W13:W14"/>
    <mergeCell ref="Z13:Z14"/>
    <mergeCell ref="AA13:AA14"/>
    <mergeCell ref="AD13:AD14"/>
    <mergeCell ref="AE13:AE14"/>
    <mergeCell ref="AF13:AF14"/>
    <mergeCell ref="AG13:AH14"/>
    <mergeCell ref="AI13:AJ14"/>
    <mergeCell ref="K11:K12"/>
    <mergeCell ref="L11:L12"/>
    <mergeCell ref="S11:S12"/>
    <mergeCell ref="T11:T12"/>
    <mergeCell ref="V11:V12"/>
    <mergeCell ref="Z11:Z12"/>
    <mergeCell ref="AA11:AA12"/>
    <mergeCell ref="AD11:AD12"/>
    <mergeCell ref="B11:B14"/>
    <mergeCell ref="C11:C14"/>
    <mergeCell ref="D11:D14"/>
    <mergeCell ref="E11:E14"/>
    <mergeCell ref="F11:F14"/>
    <mergeCell ref="G11:G14"/>
    <mergeCell ref="H11:H12"/>
    <mergeCell ref="I11:I12"/>
    <mergeCell ref="J11:J12"/>
    <mergeCell ref="AG96:AH97"/>
    <mergeCell ref="AI96:AJ97"/>
    <mergeCell ref="H98:H99"/>
    <mergeCell ref="I98:I99"/>
    <mergeCell ref="J98:J99"/>
    <mergeCell ref="K98:K99"/>
    <mergeCell ref="L98:L99"/>
    <mergeCell ref="S98:S99"/>
    <mergeCell ref="T98:T99"/>
    <mergeCell ref="V98:V99"/>
    <mergeCell ref="Z98:Z99"/>
    <mergeCell ref="AA98:AA99"/>
    <mergeCell ref="AD98:AD99"/>
    <mergeCell ref="AE98:AE99"/>
    <mergeCell ref="AF98:AF99"/>
    <mergeCell ref="AG98:AH99"/>
    <mergeCell ref="AI98:AJ99"/>
    <mergeCell ref="K96:K97"/>
    <mergeCell ref="L96:L97"/>
    <mergeCell ref="S96:S97"/>
    <mergeCell ref="T96:T97"/>
    <mergeCell ref="V96:V97"/>
    <mergeCell ref="Z96:Z97"/>
    <mergeCell ref="AA96:AA97"/>
    <mergeCell ref="H96:H97"/>
    <mergeCell ref="I96:I97"/>
    <mergeCell ref="J96:J97"/>
    <mergeCell ref="B94:B99"/>
    <mergeCell ref="C94:C99"/>
    <mergeCell ref="D94:D99"/>
    <mergeCell ref="E94:E99"/>
    <mergeCell ref="F94:F99"/>
    <mergeCell ref="G94:G99"/>
    <mergeCell ref="H94:H95"/>
    <mergeCell ref="I94:I95"/>
    <mergeCell ref="J94:J95"/>
    <mergeCell ref="AG30:AH31"/>
    <mergeCell ref="AI30:AJ31"/>
    <mergeCell ref="H32:H33"/>
    <mergeCell ref="I32:I33"/>
    <mergeCell ref="J32:J33"/>
    <mergeCell ref="K32:K33"/>
    <mergeCell ref="L32:L33"/>
    <mergeCell ref="S32:S33"/>
    <mergeCell ref="T32:T33"/>
    <mergeCell ref="V32:V33"/>
    <mergeCell ref="W32:W33"/>
    <mergeCell ref="Z32:Z33"/>
    <mergeCell ref="AA32:AA33"/>
    <mergeCell ref="AD32:AD33"/>
    <mergeCell ref="AE32:AE33"/>
    <mergeCell ref="AF32:AF33"/>
    <mergeCell ref="AG32:AH33"/>
    <mergeCell ref="AI32:AJ33"/>
    <mergeCell ref="K30:K31"/>
    <mergeCell ref="L30:L31"/>
    <mergeCell ref="S30:S31"/>
    <mergeCell ref="T30:T31"/>
    <mergeCell ref="D30:D33"/>
    <mergeCell ref="E30:E33"/>
    <mergeCell ref="F30:F33"/>
    <mergeCell ref="G30:G33"/>
    <mergeCell ref="H30:H31"/>
    <mergeCell ref="I30:I31"/>
    <mergeCell ref="J30:J31"/>
    <mergeCell ref="AE30:AE31"/>
    <mergeCell ref="AF30:AF31"/>
    <mergeCell ref="V30:V31"/>
    <mergeCell ref="W30:W31"/>
    <mergeCell ref="Z30:Z31"/>
    <mergeCell ref="AA30:AA31"/>
    <mergeCell ref="AD30:AD31"/>
    <mergeCell ref="B30:B33"/>
    <mergeCell ref="C30:C33"/>
    <mergeCell ref="AE34:AE35"/>
    <mergeCell ref="AF34:AF35"/>
    <mergeCell ref="AG34:AH35"/>
    <mergeCell ref="AI34:AJ35"/>
    <mergeCell ref="H36:H37"/>
    <mergeCell ref="I36:I37"/>
    <mergeCell ref="J36:J37"/>
    <mergeCell ref="K36:K37"/>
    <mergeCell ref="L36:L37"/>
    <mergeCell ref="S36:S37"/>
    <mergeCell ref="T36:T37"/>
    <mergeCell ref="V36:V37"/>
    <mergeCell ref="W36:W37"/>
    <mergeCell ref="Z36:Z37"/>
    <mergeCell ref="AA36:AA37"/>
    <mergeCell ref="AD36:AD37"/>
    <mergeCell ref="AE36:AE37"/>
    <mergeCell ref="AF36:AF37"/>
    <mergeCell ref="AG36:AH37"/>
    <mergeCell ref="AI36:AJ37"/>
    <mergeCell ref="K34:K35"/>
    <mergeCell ref="L34:L35"/>
    <mergeCell ref="S34:S35"/>
    <mergeCell ref="T34:T35"/>
    <mergeCell ref="V34:V35"/>
    <mergeCell ref="Z34:Z35"/>
    <mergeCell ref="AA34:AA35"/>
    <mergeCell ref="AD34:AD35"/>
    <mergeCell ref="B34:B37"/>
    <mergeCell ref="C34:C37"/>
    <mergeCell ref="D34:D37"/>
    <mergeCell ref="E34:E37"/>
    <mergeCell ref="F34:F37"/>
    <mergeCell ref="G34:G37"/>
    <mergeCell ref="H34:H35"/>
    <mergeCell ref="I34:I35"/>
    <mergeCell ref="J34:J35"/>
    <mergeCell ref="AE61:AE62"/>
    <mergeCell ref="AF61:AF62"/>
    <mergeCell ref="AG61:AH62"/>
    <mergeCell ref="AI61:AJ62"/>
    <mergeCell ref="H63:H64"/>
    <mergeCell ref="I63:I64"/>
    <mergeCell ref="J63:J64"/>
    <mergeCell ref="K63:K64"/>
    <mergeCell ref="L63:L64"/>
    <mergeCell ref="S63:S64"/>
    <mergeCell ref="T63:T64"/>
    <mergeCell ref="V63:V64"/>
    <mergeCell ref="W63:W64"/>
    <mergeCell ref="Z63:Z64"/>
    <mergeCell ref="AA63:AA64"/>
    <mergeCell ref="AD63:AD64"/>
    <mergeCell ref="AE63:AE64"/>
    <mergeCell ref="AF63:AF64"/>
    <mergeCell ref="AG63:AH64"/>
    <mergeCell ref="AI63:AJ64"/>
    <mergeCell ref="K61:K62"/>
    <mergeCell ref="L61:L62"/>
    <mergeCell ref="S61:S62"/>
    <mergeCell ref="T61:T62"/>
    <mergeCell ref="V61:V62"/>
    <mergeCell ref="Z61:Z62"/>
    <mergeCell ref="AA61:AA62"/>
    <mergeCell ref="AD61:AD62"/>
    <mergeCell ref="B61:B64"/>
    <mergeCell ref="C61:C64"/>
    <mergeCell ref="D61:D64"/>
    <mergeCell ref="E61:E64"/>
    <mergeCell ref="F61:F64"/>
    <mergeCell ref="G61:G64"/>
    <mergeCell ref="H61:H62"/>
    <mergeCell ref="I61:I62"/>
    <mergeCell ref="J61:J62"/>
    <mergeCell ref="G4:G5"/>
    <mergeCell ref="P4:U4"/>
    <mergeCell ref="V4:Y4"/>
    <mergeCell ref="Z4:AF4"/>
    <mergeCell ref="AG4:AH5"/>
    <mergeCell ref="AI4:AJ5"/>
    <mergeCell ref="H4:O4"/>
    <mergeCell ref="B4:B5"/>
    <mergeCell ref="C4:C5"/>
    <mergeCell ref="D4:D5"/>
    <mergeCell ref="E4:E5"/>
    <mergeCell ref="F4:F5"/>
    <mergeCell ref="K7:K8"/>
    <mergeCell ref="K9:K10"/>
    <mergeCell ref="L7:L8"/>
    <mergeCell ref="L9:L10"/>
    <mergeCell ref="B7:B10"/>
    <mergeCell ref="C7:C10"/>
    <mergeCell ref="D7:D10"/>
    <mergeCell ref="E7:E10"/>
    <mergeCell ref="F7:F10"/>
    <mergeCell ref="G7:G10"/>
    <mergeCell ref="H7:H8"/>
    <mergeCell ref="H9:H10"/>
    <mergeCell ref="I7:I8"/>
    <mergeCell ref="I9:I10"/>
    <mergeCell ref="J7:J8"/>
    <mergeCell ref="J9:J10"/>
    <mergeCell ref="Z7:Z8"/>
    <mergeCell ref="AA7:AA8"/>
    <mergeCell ref="V7:V8"/>
    <mergeCell ref="W7:W8"/>
    <mergeCell ref="AG7:AH8"/>
    <mergeCell ref="AI7:AJ8"/>
    <mergeCell ref="AG9:AH10"/>
    <mergeCell ref="AI9:AJ10"/>
    <mergeCell ref="AD7:AD8"/>
    <mergeCell ref="AE7:AE8"/>
    <mergeCell ref="AF7:AF8"/>
    <mergeCell ref="AE9:AE10"/>
    <mergeCell ref="AF9:AF10"/>
    <mergeCell ref="H57:H58"/>
    <mergeCell ref="I57:I58"/>
    <mergeCell ref="J57:J58"/>
    <mergeCell ref="K57:K58"/>
    <mergeCell ref="Z9:Z10"/>
    <mergeCell ref="AA9:AA10"/>
    <mergeCell ref="AD9:AD10"/>
    <mergeCell ref="T57:T58"/>
    <mergeCell ref="AD24:AD25"/>
    <mergeCell ref="K26:K27"/>
    <mergeCell ref="L26:L27"/>
    <mergeCell ref="H24:H25"/>
    <mergeCell ref="I24:I25"/>
    <mergeCell ref="J24:J25"/>
    <mergeCell ref="K24:K25"/>
    <mergeCell ref="L24:L25"/>
    <mergeCell ref="T28:T29"/>
    <mergeCell ref="B56:AJ56"/>
    <mergeCell ref="V9:V10"/>
    <mergeCell ref="W9:W10"/>
    <mergeCell ref="AI57:AJ58"/>
    <mergeCell ref="L57:L58"/>
    <mergeCell ref="AG26:AH27"/>
    <mergeCell ref="AI26:AJ27"/>
    <mergeCell ref="B24:B27"/>
    <mergeCell ref="C24:C27"/>
    <mergeCell ref="D24:D27"/>
    <mergeCell ref="E24:E27"/>
    <mergeCell ref="F24:F27"/>
    <mergeCell ref="G24:G27"/>
    <mergeCell ref="Z24:Z25"/>
    <mergeCell ref="AA24:AA25"/>
    <mergeCell ref="T24:T25"/>
    <mergeCell ref="T26:T27"/>
    <mergeCell ref="V24:V25"/>
    <mergeCell ref="W24:W25"/>
    <mergeCell ref="J26:J27"/>
    <mergeCell ref="AE24:AE25"/>
    <mergeCell ref="AG24:AH25"/>
    <mergeCell ref="AI24:AJ25"/>
    <mergeCell ref="AE26:AE27"/>
    <mergeCell ref="AF26:AF27"/>
    <mergeCell ref="S7:S8"/>
    <mergeCell ref="S9:S10"/>
    <mergeCell ref="AI59:AJ60"/>
    <mergeCell ref="B57:B58"/>
    <mergeCell ref="C57:C58"/>
    <mergeCell ref="D57:D58"/>
    <mergeCell ref="E57:E58"/>
    <mergeCell ref="F57:F58"/>
    <mergeCell ref="G57:G58"/>
    <mergeCell ref="B59:B60"/>
    <mergeCell ref="C59:C60"/>
    <mergeCell ref="D59:D60"/>
    <mergeCell ref="E59:E60"/>
    <mergeCell ref="F59:F60"/>
    <mergeCell ref="G59:G60"/>
    <mergeCell ref="H59:H60"/>
    <mergeCell ref="I59:I60"/>
    <mergeCell ref="J59:J60"/>
    <mergeCell ref="K59:K60"/>
    <mergeCell ref="L59:L60"/>
    <mergeCell ref="V59:V60"/>
    <mergeCell ref="W59:W60"/>
    <mergeCell ref="Z59:Z60"/>
    <mergeCell ref="T59:T60"/>
    <mergeCell ref="AA59:AA60"/>
    <mergeCell ref="AD59:AD60"/>
    <mergeCell ref="AE59:AE60"/>
    <mergeCell ref="AF59:AF60"/>
    <mergeCell ref="AG59:AH60"/>
    <mergeCell ref="S59:S60"/>
    <mergeCell ref="AD57:AD58"/>
    <mergeCell ref="AE57:AE58"/>
    <mergeCell ref="AF57:AF58"/>
    <mergeCell ref="AG57:AH58"/>
    <mergeCell ref="V57:V58"/>
    <mergeCell ref="W57:W58"/>
    <mergeCell ref="Z57:Z58"/>
    <mergeCell ref="AA57:AA58"/>
    <mergeCell ref="S57:S58"/>
    <mergeCell ref="B28:B29"/>
    <mergeCell ref="C28:C29"/>
    <mergeCell ref="D28:D29"/>
    <mergeCell ref="E28:E29"/>
    <mergeCell ref="F28:F29"/>
    <mergeCell ref="G28:G29"/>
    <mergeCell ref="H28:H29"/>
    <mergeCell ref="I28:I29"/>
    <mergeCell ref="J28:J29"/>
    <mergeCell ref="K28:K29"/>
    <mergeCell ref="L28:L29"/>
    <mergeCell ref="S28:S29"/>
    <mergeCell ref="B2:AJ2"/>
    <mergeCell ref="B6:AJ6"/>
    <mergeCell ref="B23:AJ23"/>
    <mergeCell ref="B3:AJ3"/>
    <mergeCell ref="AE28:AE29"/>
    <mergeCell ref="AF28:AF29"/>
    <mergeCell ref="AG28:AH29"/>
    <mergeCell ref="AI28:AJ29"/>
    <mergeCell ref="V28:V29"/>
    <mergeCell ref="Z28:Z29"/>
    <mergeCell ref="AA28:AA29"/>
    <mergeCell ref="AD28:AD29"/>
    <mergeCell ref="S26:S27"/>
    <mergeCell ref="AF24:AF25"/>
    <mergeCell ref="S24:S25"/>
    <mergeCell ref="V26:V27"/>
    <mergeCell ref="Z26:Z27"/>
    <mergeCell ref="AA26:AA27"/>
    <mergeCell ref="AD26:AD27"/>
    <mergeCell ref="H26:H27"/>
    <mergeCell ref="I26:I27"/>
    <mergeCell ref="T7:T8"/>
    <mergeCell ref="T9:T10"/>
    <mergeCell ref="V86:V87"/>
    <mergeCell ref="Z86:Z87"/>
    <mergeCell ref="AA86:AA87"/>
    <mergeCell ref="AD86:AD87"/>
    <mergeCell ref="B86:B89"/>
    <mergeCell ref="C86:C89"/>
    <mergeCell ref="D86:D89"/>
    <mergeCell ref="E86:E89"/>
    <mergeCell ref="F86:F89"/>
    <mergeCell ref="G86:G89"/>
    <mergeCell ref="H86:H87"/>
    <mergeCell ref="I86:I87"/>
    <mergeCell ref="J86:J87"/>
    <mergeCell ref="L65:L66"/>
    <mergeCell ref="S65:S66"/>
    <mergeCell ref="T65:T66"/>
    <mergeCell ref="V65:V66"/>
    <mergeCell ref="Z65:Z66"/>
    <mergeCell ref="AA65:AA66"/>
    <mergeCell ref="AD65:AD66"/>
    <mergeCell ref="B52:B53"/>
    <mergeCell ref="C52:C53"/>
    <mergeCell ref="AE86:AE87"/>
    <mergeCell ref="AF86:AF87"/>
    <mergeCell ref="AG86:AH87"/>
    <mergeCell ref="AI86:AJ87"/>
    <mergeCell ref="H88:H89"/>
    <mergeCell ref="I88:I89"/>
    <mergeCell ref="J88:J89"/>
    <mergeCell ref="K88:K89"/>
    <mergeCell ref="L88:L89"/>
    <mergeCell ref="S88:S89"/>
    <mergeCell ref="T88:T89"/>
    <mergeCell ref="V88:V89"/>
    <mergeCell ref="W88:W89"/>
    <mergeCell ref="Z88:Z89"/>
    <mergeCell ref="AA88:AA89"/>
    <mergeCell ref="AD88:AD89"/>
    <mergeCell ref="AE88:AE89"/>
    <mergeCell ref="AF88:AF89"/>
    <mergeCell ref="AG88:AH89"/>
    <mergeCell ref="AI88:AJ89"/>
    <mergeCell ref="K86:K87"/>
    <mergeCell ref="L86:L87"/>
    <mergeCell ref="S86:S87"/>
    <mergeCell ref="T86:T87"/>
    <mergeCell ref="B90:B93"/>
    <mergeCell ref="C90:C93"/>
    <mergeCell ref="D90:D93"/>
    <mergeCell ref="E90:E93"/>
    <mergeCell ref="F90:F93"/>
    <mergeCell ref="G90:G93"/>
    <mergeCell ref="H90:H91"/>
    <mergeCell ref="I90:I91"/>
    <mergeCell ref="J90:J91"/>
    <mergeCell ref="H92:H93"/>
    <mergeCell ref="I92:I93"/>
    <mergeCell ref="J92:J93"/>
    <mergeCell ref="AI90:AJ91"/>
    <mergeCell ref="AI92:AJ93"/>
    <mergeCell ref="AG90:AH91"/>
    <mergeCell ref="AG92:AH93"/>
    <mergeCell ref="V90:V91"/>
    <mergeCell ref="V92:V93"/>
    <mergeCell ref="K90:K91"/>
    <mergeCell ref="L90:L91"/>
    <mergeCell ref="Z90:Z91"/>
    <mergeCell ref="AA90:AA91"/>
    <mergeCell ref="AD90:AD91"/>
    <mergeCell ref="AE90:AE91"/>
    <mergeCell ref="AF90:AF91"/>
    <mergeCell ref="K92:K93"/>
    <mergeCell ref="L92:L93"/>
    <mergeCell ref="Z92:Z93"/>
    <mergeCell ref="AA92:AA93"/>
    <mergeCell ref="AD92:AD93"/>
    <mergeCell ref="AE92:AE93"/>
    <mergeCell ref="AF92:AF93"/>
    <mergeCell ref="S90:S91"/>
    <mergeCell ref="T90:T91"/>
    <mergeCell ref="S92:S93"/>
    <mergeCell ref="T92:T93"/>
    <mergeCell ref="AE65:AE66"/>
    <mergeCell ref="B65:B68"/>
    <mergeCell ref="C65:C68"/>
    <mergeCell ref="D65:D68"/>
    <mergeCell ref="E65:E68"/>
    <mergeCell ref="F65:F68"/>
    <mergeCell ref="G65:G68"/>
    <mergeCell ref="H65:H66"/>
    <mergeCell ref="I65:I66"/>
    <mergeCell ref="J65:J66"/>
    <mergeCell ref="AF65:AF66"/>
    <mergeCell ref="AG65:AH66"/>
    <mergeCell ref="AI65:AJ66"/>
    <mergeCell ref="H67:H68"/>
    <mergeCell ref="I67:I68"/>
    <mergeCell ref="J67:J68"/>
    <mergeCell ref="K67:K68"/>
    <mergeCell ref="L67:L68"/>
    <mergeCell ref="S67:S68"/>
    <mergeCell ref="T67:T68"/>
    <mergeCell ref="V67:V68"/>
    <mergeCell ref="Z67:Z68"/>
    <mergeCell ref="AA67:AA68"/>
    <mergeCell ref="AD67:AD68"/>
    <mergeCell ref="AE67:AE68"/>
    <mergeCell ref="AF67:AF68"/>
    <mergeCell ref="AG67:AH68"/>
    <mergeCell ref="AI67:AJ68"/>
    <mergeCell ref="N65:N66"/>
    <mergeCell ref="O65:O66"/>
    <mergeCell ref="N67:N68"/>
    <mergeCell ref="O67:O68"/>
    <mergeCell ref="W65:W66"/>
    <mergeCell ref="K65:K66"/>
    <mergeCell ref="D52:D53"/>
    <mergeCell ref="E52:E53"/>
    <mergeCell ref="F52:F53"/>
    <mergeCell ref="G52:G53"/>
    <mergeCell ref="H52:H53"/>
    <mergeCell ref="I52:I53"/>
    <mergeCell ref="J52:J53"/>
    <mergeCell ref="AE52:AE53"/>
    <mergeCell ref="AF52:AF53"/>
    <mergeCell ref="AG52:AH53"/>
    <mergeCell ref="AI52:AJ53"/>
    <mergeCell ref="K52:K53"/>
    <mergeCell ref="L52:L53"/>
    <mergeCell ref="S52:S53"/>
    <mergeCell ref="T52:T53"/>
    <mergeCell ref="V52:V53"/>
    <mergeCell ref="W52:W53"/>
    <mergeCell ref="Z52:Z53"/>
    <mergeCell ref="AA52:AA53"/>
    <mergeCell ref="AD52:AD53"/>
  </mergeCells>
  <phoneticPr fontId="2" type="noConversion"/>
  <conditionalFormatting sqref="O1 O4:O5 O7:O22 O86:O1048576">
    <cfRule type="cellIs" dxfId="50" priority="137" operator="equal">
      <formula>"미달"</formula>
    </cfRule>
  </conditionalFormatting>
  <conditionalFormatting sqref="O24:O55">
    <cfRule type="cellIs" dxfId="49" priority="12" operator="equal">
      <formula>"미달"</formula>
    </cfRule>
  </conditionalFormatting>
  <conditionalFormatting sqref="O57:O65 O67">
    <cfRule type="cellIs" dxfId="48" priority="106" operator="equal">
      <formula>"미달"</formula>
    </cfRule>
  </conditionalFormatting>
  <conditionalFormatting sqref="O69">
    <cfRule type="cellIs" dxfId="47" priority="27" operator="equal">
      <formula>"미달"</formula>
    </cfRule>
  </conditionalFormatting>
  <conditionalFormatting sqref="O71:O75">
    <cfRule type="cellIs" dxfId="46" priority="20" operator="equal">
      <formula>"미달"</formula>
    </cfRule>
  </conditionalFormatting>
  <conditionalFormatting sqref="O77:O84">
    <cfRule type="cellIs" dxfId="45" priority="2" operator="equal">
      <formula>"미달"</formula>
    </cfRule>
  </conditionalFormatting>
  <conditionalFormatting sqref="U7:U22 U86:U107">
    <cfRule type="containsText" dxfId="44" priority="40" operator="containsText" text="미달">
      <formula>NOT(ISERROR(SEARCH("미달",U7)))</formula>
    </cfRule>
  </conditionalFormatting>
  <conditionalFormatting sqref="U24:U55">
    <cfRule type="containsText" dxfId="43" priority="3" operator="containsText" text="미달">
      <formula>NOT(ISERROR(SEARCH("미달",U24)))</formula>
    </cfRule>
  </conditionalFormatting>
  <conditionalFormatting sqref="U57:U84">
    <cfRule type="containsText" dxfId="42" priority="101" operator="containsText" text="미달">
      <formula>NOT(ISERROR(SEARCH("미달",U57)))</formula>
    </cfRule>
  </conditionalFormatting>
  <conditionalFormatting sqref="Y7:Y22 Y86:Y107">
    <cfRule type="containsText" dxfId="41" priority="39" operator="containsText" text="미달">
      <formula>NOT(ISERROR(SEARCH("미달",Y7)))</formula>
    </cfRule>
  </conditionalFormatting>
  <conditionalFormatting sqref="Y24:Y55">
    <cfRule type="containsText" dxfId="40" priority="10" operator="containsText" text="미달">
      <formula>NOT(ISERROR(SEARCH("미달",Y24)))</formula>
    </cfRule>
  </conditionalFormatting>
  <conditionalFormatting sqref="Y57:Y84">
    <cfRule type="containsText" dxfId="39" priority="23" operator="containsText" text="미달">
      <formula>NOT(ISERROR(SEARCH("미달",Y57)))</formula>
    </cfRule>
  </conditionalFormatting>
  <conditionalFormatting sqref="AC8">
    <cfRule type="containsText" dxfId="38" priority="132" operator="containsText" text="미달">
      <formula>NOT(ISERROR(SEARCH("미달",AC8)))</formula>
    </cfRule>
  </conditionalFormatting>
  <conditionalFormatting sqref="AC10">
    <cfRule type="containsText" dxfId="37" priority="110" operator="containsText" text="미달">
      <formula>NOT(ISERROR(SEARCH("미달",AC10)))</formula>
    </cfRule>
  </conditionalFormatting>
  <conditionalFormatting sqref="AC12">
    <cfRule type="containsText" dxfId="36" priority="57" operator="containsText" text="미달">
      <formula>NOT(ISERROR(SEARCH("미달",AC12)))</formula>
    </cfRule>
  </conditionalFormatting>
  <conditionalFormatting sqref="AC14">
    <cfRule type="containsText" dxfId="35" priority="60" operator="containsText" text="미달">
      <formula>NOT(ISERROR(SEARCH("미달",AC14)))</formula>
    </cfRule>
  </conditionalFormatting>
  <conditionalFormatting sqref="AC16">
    <cfRule type="containsText" dxfId="34" priority="35" operator="containsText" text="미달">
      <formula>NOT(ISERROR(SEARCH("미달",AC16)))</formula>
    </cfRule>
  </conditionalFormatting>
  <conditionalFormatting sqref="AC18 AC22">
    <cfRule type="containsText" dxfId="33" priority="37" operator="containsText" text="미달">
      <formula>NOT(ISERROR(SEARCH("미달",AC18)))</formula>
    </cfRule>
  </conditionalFormatting>
  <conditionalFormatting sqref="AC20">
    <cfRule type="containsText" dxfId="32" priority="34" operator="containsText" text="미달">
      <formula>NOT(ISERROR(SEARCH("미달",AC20)))</formula>
    </cfRule>
  </conditionalFormatting>
  <conditionalFormatting sqref="AC25">
    <cfRule type="containsText" dxfId="31" priority="109" operator="containsText" text="미달">
      <formula>NOT(ISERROR(SEARCH("미달",AC25)))</formula>
    </cfRule>
  </conditionalFormatting>
  <conditionalFormatting sqref="AC27">
    <cfRule type="containsText" dxfId="30" priority="108" operator="containsText" text="미달">
      <formula>NOT(ISERROR(SEARCH("미달",AC27)))</formula>
    </cfRule>
  </conditionalFormatting>
  <conditionalFormatting sqref="AC29">
    <cfRule type="containsText" dxfId="29" priority="107" operator="containsText" text="미달">
      <formula>NOT(ISERROR(SEARCH("미달",AC29)))</formula>
    </cfRule>
  </conditionalFormatting>
  <conditionalFormatting sqref="AC31">
    <cfRule type="containsText" dxfId="28" priority="74" operator="containsText" text="미달">
      <formula>NOT(ISERROR(SEARCH("미달",AC31)))</formula>
    </cfRule>
  </conditionalFormatting>
  <conditionalFormatting sqref="AC33">
    <cfRule type="containsText" dxfId="27" priority="75" operator="containsText" text="미달">
      <formula>NOT(ISERROR(SEARCH("미달",AC33)))</formula>
    </cfRule>
  </conditionalFormatting>
  <conditionalFormatting sqref="AC35">
    <cfRule type="containsText" dxfId="26" priority="94" operator="containsText" text="미달">
      <formula>NOT(ISERROR(SEARCH("미달",AC35)))</formula>
    </cfRule>
  </conditionalFormatting>
  <conditionalFormatting sqref="AC37">
    <cfRule type="containsText" dxfId="25" priority="95" operator="containsText" text="미달">
      <formula>NOT(ISERROR(SEARCH("미달",AC37)))</formula>
    </cfRule>
  </conditionalFormatting>
  <conditionalFormatting sqref="AC39">
    <cfRule type="containsText" dxfId="24" priority="24" operator="containsText" text="미달">
      <formula>NOT(ISERROR(SEARCH("미달",AC39)))</formula>
    </cfRule>
  </conditionalFormatting>
  <conditionalFormatting sqref="AC41">
    <cfRule type="containsText" dxfId="23" priority="18" operator="containsText" text="미달">
      <formula>NOT(ISERROR(SEARCH("미달",AC41)))</formula>
    </cfRule>
  </conditionalFormatting>
  <conditionalFormatting sqref="AC43 AC47 AC51">
    <cfRule type="containsText" dxfId="22" priority="17" operator="containsText" text="미달">
      <formula>NOT(ISERROR(SEARCH("미달",AC43)))</formula>
    </cfRule>
  </conditionalFormatting>
  <conditionalFormatting sqref="AC45">
    <cfRule type="containsText" dxfId="21" priority="16" operator="containsText" text="미달">
      <formula>NOT(ISERROR(SEARCH("미달",AC45)))</formula>
    </cfRule>
  </conditionalFormatting>
  <conditionalFormatting sqref="AC49">
    <cfRule type="containsText" dxfId="20" priority="15" operator="containsText" text="미달">
      <formula>NOT(ISERROR(SEARCH("미달",AC49)))</formula>
    </cfRule>
  </conditionalFormatting>
  <conditionalFormatting sqref="AC53 AC55">
    <cfRule type="containsText" dxfId="19" priority="8" operator="containsText" text="미달">
      <formula>NOT(ISERROR(SEARCH("미달",AC53)))</formula>
    </cfRule>
  </conditionalFormatting>
  <conditionalFormatting sqref="AC58">
    <cfRule type="containsText" dxfId="18" priority="124" operator="containsText" text="미달">
      <formula>NOT(ISERROR(SEARCH("미달",AC58)))</formula>
    </cfRule>
  </conditionalFormatting>
  <conditionalFormatting sqref="AC60">
    <cfRule type="containsText" dxfId="17" priority="126" operator="containsText" text="미달">
      <formula>NOT(ISERROR(SEARCH("미달",AC60)))</formula>
    </cfRule>
  </conditionalFormatting>
  <conditionalFormatting sqref="AC62">
    <cfRule type="containsText" dxfId="16" priority="100" operator="containsText" text="미달">
      <formula>NOT(ISERROR(SEARCH("미달",AC62)))</formula>
    </cfRule>
  </conditionalFormatting>
  <conditionalFormatting sqref="AC64 AC68 AC72 AC76 AC80 AC84">
    <cfRule type="containsText" dxfId="15" priority="102" operator="containsText" text="미달">
      <formula>NOT(ISERROR(SEARCH("미달",AC64)))</formula>
    </cfRule>
  </conditionalFormatting>
  <conditionalFormatting sqref="AC66">
    <cfRule type="containsText" dxfId="14" priority="28" operator="containsText" text="미달">
      <formula>NOT(ISERROR(SEARCH("미달",AC66)))</formula>
    </cfRule>
  </conditionalFormatting>
  <conditionalFormatting sqref="AC70">
    <cfRule type="containsText" dxfId="13" priority="26" operator="containsText" text="미달">
      <formula>NOT(ISERROR(SEARCH("미달",AC70)))</formula>
    </cfRule>
  </conditionalFormatting>
  <conditionalFormatting sqref="AC74">
    <cfRule type="containsText" dxfId="12" priority="21" operator="containsText" text="미달">
      <formula>NOT(ISERROR(SEARCH("미달",AC74)))</formula>
    </cfRule>
  </conditionalFormatting>
  <conditionalFormatting sqref="AC78">
    <cfRule type="containsText" dxfId="11" priority="6" operator="containsText" text="미달">
      <formula>NOT(ISERROR(SEARCH("미달",AC78)))</formula>
    </cfRule>
  </conditionalFormatting>
  <conditionalFormatting sqref="AC82">
    <cfRule type="containsText" dxfId="10" priority="1" operator="containsText" text="미달">
      <formula>NOT(ISERROR(SEARCH("미달",AC82)))</formula>
    </cfRule>
  </conditionalFormatting>
  <conditionalFormatting sqref="AC87">
    <cfRule type="containsText" dxfId="9" priority="51" operator="containsText" text="미달">
      <formula>NOT(ISERROR(SEARCH("미달",AC87)))</formula>
    </cfRule>
  </conditionalFormatting>
  <conditionalFormatting sqref="AC89">
    <cfRule type="containsText" dxfId="8" priority="52" operator="containsText" text="미달">
      <formula>NOT(ISERROR(SEARCH("미달",AC89)))</formula>
    </cfRule>
  </conditionalFormatting>
  <conditionalFormatting sqref="AC91">
    <cfRule type="containsText" dxfId="7" priority="43" operator="containsText" text="미달">
      <formula>NOT(ISERROR(SEARCH("미달",AC91)))</formula>
    </cfRule>
  </conditionalFormatting>
  <conditionalFormatting sqref="AC93 AC95">
    <cfRule type="containsText" dxfId="6" priority="42" operator="containsText" text="미달">
      <formula>NOT(ISERROR(SEARCH("미달",AC93)))</formula>
    </cfRule>
  </conditionalFormatting>
  <conditionalFormatting sqref="AC97">
    <cfRule type="containsText" dxfId="5" priority="66" operator="containsText" text="미달">
      <formula>NOT(ISERROR(SEARCH("미달",AC97)))</formula>
    </cfRule>
  </conditionalFormatting>
  <conditionalFormatting sqref="AC99">
    <cfRule type="containsText" dxfId="4" priority="65" operator="containsText" text="미달">
      <formula>NOT(ISERROR(SEARCH("미달",AC99)))</formula>
    </cfRule>
  </conditionalFormatting>
  <conditionalFormatting sqref="AC101">
    <cfRule type="containsText" dxfId="3" priority="7" operator="containsText" text="미달">
      <formula>NOT(ISERROR(SEARCH("미달",AC101)))</formula>
    </cfRule>
  </conditionalFormatting>
  <conditionalFormatting sqref="AC103">
    <cfRule type="containsText" dxfId="2" priority="29" operator="containsText" text="미달">
      <formula>NOT(ISERROR(SEARCH("미달",AC103)))</formula>
    </cfRule>
  </conditionalFormatting>
  <conditionalFormatting sqref="AC105">
    <cfRule type="containsText" dxfId="1" priority="14" operator="containsText" text="미달">
      <formula>NOT(ISERROR(SEARCH("미달",AC105)))</formula>
    </cfRule>
  </conditionalFormatting>
  <conditionalFormatting sqref="AC107">
    <cfRule type="containsText" dxfId="0" priority="13" operator="containsText" text="미달">
      <formula>NOT(ISERROR(SEARCH("미달",AC107)))</formula>
    </cfRule>
  </conditionalFormatting>
  <dataValidations disablePrompts="1" count="1">
    <dataValidation type="list" allowBlank="1" showInputMessage="1" showErrorMessage="1" sqref="F7 F57 F59 F28 F61 F34 F30 F94 F11 F86 F15 F19 F100 F65 F69 F38 F73 F40 F44 F48 F24 F104 F90 F52 F77 F54 F81" xr:uid="{18228A9F-2893-41D0-92C4-24C97B058FDE}">
      <formula1>"현대화,유지관리(사후관리),유지관리(블록별),유지관리(누수탐사)"</formula1>
    </dataValidation>
  </dataValidations>
  <pageMargins left="0.70866141732283472" right="0.70866141732283472" top="0.74803149606299213" bottom="0.74803149606299213" header="0.31496062992125984" footer="0.31496062992125984"/>
  <pageSetup paperSize="8" scale="23" fitToHeight="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E5BF2C38BD964D9150B630148FD2BF" ma:contentTypeVersion="4" ma:contentTypeDescription="Create a new document." ma:contentTypeScope="" ma:versionID="ab1fec137ac1428ac6326b4b9a5f09fd">
  <xsd:schema xmlns:xsd="http://www.w3.org/2001/XMLSchema" xmlns:xs="http://www.w3.org/2001/XMLSchema" xmlns:p="http://schemas.microsoft.com/office/2006/metadata/properties" xmlns:ns3="31998615-a648-4160-b406-b88918d839d9" targetNamespace="http://schemas.microsoft.com/office/2006/metadata/properties" ma:root="true" ma:fieldsID="eb14da146f44c98d51ac01e7cbb5bbbc" ns3:_="">
    <xsd:import namespace="31998615-a648-4160-b406-b88918d839d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998615-a648-4160-b406-b88918d839d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FB457B2-3B8F-4F97-9C89-5A0FD10401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998615-a648-4160-b406-b88918d839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302E21-CD5E-475A-953B-0622E7A43ACC}">
  <ds:schemaRefs>
    <ds:schemaRef ds:uri="http://schemas.microsoft.com/sharepoint/v3/contenttype/forms"/>
  </ds:schemaRefs>
</ds:datastoreItem>
</file>

<file path=customXml/itemProps3.xml><?xml version="1.0" encoding="utf-8"?>
<ds:datastoreItem xmlns:ds="http://schemas.openxmlformats.org/officeDocument/2006/customXml" ds:itemID="{3A2FE107-844A-4185-9C0F-3B85BB843BF4}">
  <ds:schemaRefs>
    <ds:schemaRef ds:uri="http://www.w3.org/XML/1998/namespace"/>
    <ds:schemaRef ds:uri="31998615-a648-4160-b406-b88918d839d9"/>
    <ds:schemaRef ds:uri="http://purl.org/dc/dcmitype/"/>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요약</vt:lpstr>
      <vt:lpstr>목표유수율 현장</vt:lpstr>
      <vt:lpstr>'목표유수율 현장'!Print_Titles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KYJ</dc:creator>
  <cp:lastModifiedBy>KYJ</cp:lastModifiedBy>
  <cp:lastPrinted>2026-03-31T09:35:22Z</cp:lastPrinted>
  <dcterms:created xsi:type="dcterms:W3CDTF">2025-11-07T02:22:42Z</dcterms:created>
  <dcterms:modified xsi:type="dcterms:W3CDTF">2026-04-13T09:57:07Z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0x01010014E5BF2C38BD964D9150B630148FD2BF</vt:lpwstr>
  </property>
</Properties>
</file>