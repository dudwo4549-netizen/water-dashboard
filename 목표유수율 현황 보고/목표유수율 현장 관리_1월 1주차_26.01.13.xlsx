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률 관리\4. 관망관리_유수율 관리\2026년\1월\1주차\"/>
    </mc:Choice>
  </mc:AlternateContent>
  <xr:revisionPtr revIDLastSave="0" documentId="13_ncr:1_{4D47D9AB-EF80-490D-8B69-34D392BB2345}" xr6:coauthVersionLast="47" xr6:coauthVersionMax="47" xr10:uidLastSave="{00000000-0000-0000-0000-000000000000}"/>
  <bookViews>
    <workbookView xWindow="-12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현장'!$B$5:$AJ$5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9" i="1" l="1"/>
  <c r="N30" i="1" l="1"/>
  <c r="O30" i="1" s="1"/>
  <c r="P93" i="1" l="1"/>
  <c r="P91" i="1"/>
  <c r="N71" i="1" l="1"/>
  <c r="O71" i="1" s="1"/>
  <c r="O72" i="1" s="1"/>
  <c r="W74" i="1" l="1"/>
  <c r="Y74" i="1"/>
  <c r="X74" i="1"/>
  <c r="Y73" i="1"/>
  <c r="P95" i="1" l="1"/>
  <c r="Q87" i="1"/>
  <c r="R87" i="1"/>
  <c r="W95" i="1"/>
  <c r="AC95" i="1"/>
  <c r="AF94" i="1" l="1"/>
  <c r="N94" i="1" l="1"/>
  <c r="O94" i="1" s="1"/>
  <c r="O95" i="1" s="1"/>
  <c r="X94" i="1"/>
  <c r="W105" i="1"/>
  <c r="P105" i="1"/>
  <c r="N104" i="1"/>
  <c r="O104" i="1" s="1"/>
  <c r="O105" i="1" s="1"/>
  <c r="AF104" i="1"/>
  <c r="Y94" i="1" l="1"/>
  <c r="Y95" i="1"/>
  <c r="X95" i="1"/>
  <c r="X104" i="1"/>
  <c r="Y105" i="1" l="1"/>
  <c r="X105" i="1"/>
  <c r="Y104" i="1"/>
  <c r="AC55" i="1" l="1"/>
  <c r="AC53" i="1"/>
  <c r="P53" i="1"/>
  <c r="N52" i="1"/>
  <c r="O52" i="1" s="1"/>
  <c r="O53" i="1" s="1"/>
  <c r="AF52" i="1"/>
  <c r="AC51" i="1" l="1"/>
  <c r="P51" i="1"/>
  <c r="N50" i="1"/>
  <c r="O50" i="1" s="1"/>
  <c r="O51" i="1" s="1"/>
  <c r="AF50" i="1"/>
  <c r="AC49" i="1"/>
  <c r="P49" i="1"/>
  <c r="N48" i="1"/>
  <c r="O48" i="1" s="1"/>
  <c r="O49" i="1" s="1"/>
  <c r="AF48" i="1"/>
  <c r="AC47" i="1"/>
  <c r="AF46" i="1"/>
  <c r="P47" i="1"/>
  <c r="N46" i="1"/>
  <c r="O46" i="1" s="1"/>
  <c r="O47" i="1" s="1"/>
  <c r="AC45" i="1"/>
  <c r="P45" i="1"/>
  <c r="N44" i="1"/>
  <c r="O44" i="1" s="1"/>
  <c r="O45" i="1" s="1"/>
  <c r="AF44" i="1"/>
  <c r="AF73" i="1"/>
  <c r="R74" i="1"/>
  <c r="Q74" i="1"/>
  <c r="P74" i="1"/>
  <c r="N73" i="1"/>
  <c r="O73" i="1" s="1"/>
  <c r="O74" i="1" s="1"/>
  <c r="AC74" i="1"/>
  <c r="R43" i="1" l="1"/>
  <c r="AC43" i="1"/>
  <c r="W43" i="1"/>
  <c r="Q43" i="1"/>
  <c r="P43" i="1"/>
  <c r="X42" i="1"/>
  <c r="AF42" i="1"/>
  <c r="Y43" i="1" l="1"/>
  <c r="X43" i="1"/>
  <c r="Y42" i="1"/>
  <c r="N42" i="1"/>
  <c r="O42" i="1" s="1"/>
  <c r="O43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AF78" i="1"/>
  <c r="N78" i="1"/>
  <c r="O78" i="1" s="1"/>
  <c r="O79" i="1" s="1"/>
  <c r="P79" i="1"/>
  <c r="Q79" i="1"/>
  <c r="R79" i="1"/>
  <c r="W79" i="1"/>
  <c r="AC79" i="1"/>
  <c r="Y71" i="1" l="1"/>
  <c r="X72" i="1"/>
  <c r="X78" i="1"/>
  <c r="Y78" i="1" s="1"/>
  <c r="AF67" i="1"/>
  <c r="U68" i="1"/>
  <c r="P68" i="1"/>
  <c r="X79" i="1" l="1"/>
  <c r="Y79" i="1"/>
  <c r="AC66" i="1"/>
  <c r="P83" i="1" l="1"/>
  <c r="P101" i="1"/>
  <c r="N100" i="1"/>
  <c r="O100" i="1" s="1"/>
  <c r="O101" i="1" s="1"/>
  <c r="AF100" i="1"/>
  <c r="AC24" i="1"/>
  <c r="AC20" i="1"/>
  <c r="P24" i="1"/>
  <c r="N23" i="1"/>
  <c r="O23" i="1" s="1"/>
  <c r="O24" i="1" s="1"/>
  <c r="AF23" i="1"/>
  <c r="P20" i="1"/>
  <c r="N19" i="1"/>
  <c r="O19" i="1" s="1"/>
  <c r="O20" i="1" s="1"/>
  <c r="AF19" i="1"/>
  <c r="U81" i="1"/>
  <c r="AC93" i="1"/>
  <c r="AC91" i="1"/>
  <c r="AC89" i="1"/>
  <c r="W91" i="1"/>
  <c r="AF92" i="1"/>
  <c r="O92" i="1"/>
  <c r="O93" i="1" s="1"/>
  <c r="X90" i="1"/>
  <c r="AF90" i="1"/>
  <c r="O90" i="1"/>
  <c r="O91" i="1" s="1"/>
  <c r="Y91" i="1" l="1"/>
  <c r="X91" i="1"/>
  <c r="Y90" i="1"/>
  <c r="U83" i="1" l="1"/>
  <c r="AF82" i="1"/>
  <c r="AC81" i="1"/>
  <c r="AC83" i="1"/>
  <c r="W83" i="1"/>
  <c r="AC16" i="1"/>
  <c r="W16" i="1"/>
  <c r="U16" i="1"/>
  <c r="R16" i="1"/>
  <c r="P16" i="1"/>
  <c r="N15" i="1"/>
  <c r="O15" i="1" s="1"/>
  <c r="O16" i="1" s="1"/>
  <c r="AF15" i="1"/>
  <c r="N82" i="1" l="1"/>
  <c r="O82" i="1" s="1"/>
  <c r="O83" i="1" s="1"/>
  <c r="X82" i="1"/>
  <c r="X15" i="1"/>
  <c r="Y83" i="1" l="1"/>
  <c r="X83" i="1"/>
  <c r="Y82" i="1"/>
  <c r="X16" i="1"/>
  <c r="Y15" i="1"/>
  <c r="Y16" i="1"/>
  <c r="W33" i="1"/>
  <c r="R33" i="1"/>
  <c r="Q33" i="1"/>
  <c r="P33" i="1"/>
  <c r="N98" i="1" l="1"/>
  <c r="O98" i="1" s="1"/>
  <c r="O99" i="1" s="1"/>
  <c r="AC99" i="1"/>
  <c r="AC97" i="1"/>
  <c r="AF98" i="1"/>
  <c r="P97" i="1"/>
  <c r="N96" i="1"/>
  <c r="O96" i="1" s="1"/>
  <c r="O97" i="1" s="1"/>
  <c r="AF96" i="1"/>
  <c r="AC35" i="1" l="1"/>
  <c r="P35" i="1"/>
  <c r="N34" i="1"/>
  <c r="O34" i="1" s="1"/>
  <c r="O35" i="1" s="1"/>
  <c r="AF34" i="1"/>
  <c r="W87" i="1" l="1"/>
  <c r="U87" i="1"/>
  <c r="AC87" i="1"/>
  <c r="P87" i="1"/>
  <c r="X86" i="1"/>
  <c r="AF86" i="1"/>
  <c r="AC12" i="1"/>
  <c r="W12" i="1"/>
  <c r="U12" i="1"/>
  <c r="P12" i="1"/>
  <c r="X11" i="1"/>
  <c r="Y11" i="1" s="1"/>
  <c r="AF11" i="1"/>
  <c r="N86" i="1" l="1"/>
  <c r="O86" i="1" s="1"/>
  <c r="O87" i="1" s="1"/>
  <c r="Y86" i="1"/>
  <c r="Y87" i="1"/>
  <c r="X87" i="1"/>
  <c r="N11" i="1"/>
  <c r="O11" i="1" s="1"/>
  <c r="O12" i="1" s="1"/>
  <c r="X12" i="1"/>
  <c r="Y12" i="1"/>
  <c r="W39" i="1" l="1"/>
  <c r="AC39" i="1"/>
  <c r="R39" i="1"/>
  <c r="Q39" i="1"/>
  <c r="P39" i="1"/>
  <c r="N38" i="1"/>
  <c r="O38" i="1" s="1"/>
  <c r="O39" i="1" s="1"/>
  <c r="AF38" i="1"/>
  <c r="X38" i="1" l="1"/>
  <c r="Y39" i="1" l="1"/>
  <c r="X39" i="1"/>
  <c r="Y38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9" i="1" l="1"/>
  <c r="W31" i="1"/>
  <c r="AC33" i="1"/>
  <c r="AC31" i="1"/>
  <c r="AC29" i="1"/>
  <c r="AC10" i="1"/>
  <c r="U8" i="1" l="1"/>
  <c r="W81" i="1" l="1"/>
  <c r="P81" i="1" l="1"/>
  <c r="AF80" i="1"/>
  <c r="N80" i="1" l="1"/>
  <c r="O80" i="1" s="1"/>
  <c r="O81" i="1" s="1"/>
  <c r="X80" i="1"/>
  <c r="Y81" i="1" l="1"/>
  <c r="X81" i="1"/>
  <c r="Y80" i="1"/>
  <c r="AC8" i="1" l="1"/>
  <c r="AF7" i="1" l="1"/>
  <c r="N28" i="1"/>
  <c r="O28" i="1" s="1"/>
  <c r="O29" i="1" s="1"/>
  <c r="AF32" i="1"/>
  <c r="U60" i="1"/>
  <c r="U58" i="1"/>
  <c r="R60" i="1"/>
  <c r="R58" i="1"/>
  <c r="Q60" i="1"/>
  <c r="Q58" i="1"/>
  <c r="P60" i="1"/>
  <c r="P58" i="1"/>
  <c r="N32" i="1" l="1"/>
  <c r="O32" i="1" s="1"/>
  <c r="O33" i="1" s="1"/>
  <c r="X32" i="1"/>
  <c r="X30" i="1"/>
  <c r="Y32" i="1" l="1"/>
  <c r="Y33" i="1"/>
  <c r="X33" i="1"/>
  <c r="Y30" i="1"/>
  <c r="Y31" i="1"/>
  <c r="X31" i="1"/>
  <c r="AF59" i="1"/>
  <c r="AF57" i="1"/>
  <c r="AF30" i="1"/>
  <c r="AF28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<sst xmlns="http://schemas.openxmlformats.org/spreadsheetml/2006/main" count="1451" uniqueCount="258">
  <si>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</si>
  <si>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</si>
  <si>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</si>
  <si>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</si>
  <si>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</si>
  <si>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</si>
  <si>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</si>
  <si>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</si>
  <si>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</si>
  <si>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</si>
  <si>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</si>
  <si>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</si>
  <si>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</si>
  <si>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</si>
  <si>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</si>
  <si>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</si>
  <si>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</si>
  <si>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</si>
  <si>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</si>
  <si>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</si>
  <si>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</si>
  <si>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</si>
  <si>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</si>
  <si>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</si>
  <si>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</si>
  <si>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</si>
  <si>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</si>
  <si>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</si>
  <si>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</si>
  <si>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</si>
  <si>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</si>
  <si>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</si>
  <si>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</si>
  <si>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25.09월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</si>
  <si>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</si>
  <si>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</si>
  <si>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</si>
  <si>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</si>
  <si>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</si>
  <si>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</si>
  <si>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</si>
  <si>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</si>
  <si>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</si>
  <si>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</si>
  <si>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</si>
  <si>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</si>
  <si>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</si>
  <si>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</si>
  <si>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</si>
  <si>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</si>
  <si>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</si>
  <si>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 누수탐사</t>
    <phoneticPr fontId="2" type="noConversion"/>
  </si>
  <si>
    <t>유지관리(누수탐사)</t>
  </si>
  <si>
    <t>고대경</t>
    <phoneticPr fontId="2" type="noConversion"/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</si>
  <si>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</si>
  <si>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</si>
  <si>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</si>
  <si>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</si>
  <si>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</si>
  <si>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</si>
  <si>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</si>
  <si>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</si>
  <si>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</si>
  <si>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진주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</si>
  <si>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</si>
  <si>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</si>
  <si>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</si>
  <si>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</si>
  <si>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</si>
  <si>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</si>
  <si>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</si>
  <si>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</si>
  <si>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</si>
  <si>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</si>
  <si>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</si>
  <si>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</si>
  <si>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</si>
  <si>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</si>
  <si>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</si>
  <si>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</si>
  <si>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</si>
  <si>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</si>
  <si>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</si>
  <si>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</si>
  <si>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</si>
  <si>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</si>
  <si>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</si>
  <si>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</si>
  <si>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</si>
  <si>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</si>
  <si>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</si>
  <si>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</si>
  <si>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</si>
  <si>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</si>
  <si>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</si>
  <si>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</si>
  <si>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</si>
  <si>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t>- 성과판정 초기 검침 완료(9,518전)
- 성과판정 기간 : 25-09-15 ~ 26-09-15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</si>
  <si>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</si>
  <si>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</si>
  <si>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</si>
  <si>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</si>
  <si>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</si>
  <si>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</si>
  <si>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</si>
  <si>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</si>
  <si>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</si>
  <si>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</si>
  <si>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</si>
  <si>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조윤희</t>
    <phoneticPr fontId="2" type="noConversion"/>
  </si>
  <si>
    <t>-</t>
    <phoneticPr fontId="2" type="noConversion"/>
  </si>
  <si>
    <t>준공 前 3개월 평균 유수율 65% 이상
누수건수 140건</t>
    <phoneticPr fontId="2" type="noConversion"/>
  </si>
  <si>
    <t>강덕호</t>
    <phoneticPr fontId="2" type="noConversion"/>
  </si>
  <si>
    <t>상수도 관망시설
 전문유지관리</t>
    <phoneticPr fontId="2" type="noConversion"/>
  </si>
  <si>
    <t>김경태</t>
    <phoneticPr fontId="2" type="noConversion"/>
  </si>
  <si>
    <t>홍승민</t>
    <phoneticPr fontId="2" type="noConversion"/>
  </si>
  <si>
    <t>성과대상구역 판정기간 평균 유수율 85% 달성</t>
    <phoneticPr fontId="2" type="noConversion"/>
  </si>
  <si>
    <t>박현진</t>
    <phoneticPr fontId="2" type="noConversion"/>
  </si>
  <si>
    <t>- 누수탐사 건수 부족분 감액없이 설계변경 예정</t>
    <phoneticPr fontId="2" type="noConversion"/>
  </si>
  <si>
    <t>- 목표누수탐사는 성과외구역(현재 수율에서 관리 중)</t>
    <phoneticPr fontId="2" type="noConversion"/>
  </si>
  <si>
    <t>- 예산부족으로 잔여차수분 착수는 내년 1월 예정
- 잔여차수분 공기는 6개월이나, 조기준공 계획 중
- 유수율 상회 1블록은 부안A소블록으로 유량계 점검필요함 (성과유수율 산정은 중블록 유량계 사용)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</si>
  <si>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</si>
  <si>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</si>
  <si>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</si>
  <si>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</si>
  <si>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</si>
  <si>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</si>
  <si>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상수도관망 전문유지관리 
및 누수탐사</t>
    <phoneticPr fontId="2" type="noConversion"/>
  </si>
  <si>
    <t>현대화사업 사후관리</t>
    <phoneticPr fontId="2" type="noConversion"/>
  </si>
  <si>
    <t>과업 투입 후 2년차 종료 3개월전 6개월 간의 평균 유수율</t>
    <phoneticPr fontId="2" type="noConversion"/>
  </si>
  <si>
    <t>성과대상구역 판정기간 평균 유수율 85% 달성 
(준공2개월 전 10개월 평균 유수율)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</si>
  <si>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</si>
  <si>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</si>
  <si>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</si>
  <si>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</si>
  <si>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</si>
  <si>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진안팀</t>
    <phoneticPr fontId="2" type="noConversion"/>
  </si>
  <si>
    <t>김덕영</t>
    <phoneticPr fontId="2" type="noConversion"/>
  </si>
  <si>
    <t>1년 평균수율 85% 유지</t>
    <phoneticPr fontId="2" type="noConversion"/>
  </si>
  <si>
    <t>25.10월</t>
    <phoneticPr fontId="2" type="noConversion"/>
  </si>
  <si>
    <t>1년 평균수율 56.5%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</si>
  <si>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</si>
  <si>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</si>
  <si>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</si>
  <si>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>- 성과판정 초기 검침 완료(5,012전)
- 성과판정 기간 : 25-08-22 ~ 26-09-05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</si>
  <si>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</si>
  <si>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</si>
  <si>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-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</si>
  <si>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</si>
  <si>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</si>
  <si>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</si>
  <si>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</si>
  <si>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</si>
  <si>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</si>
  <si>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</si>
  <si>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</si>
  <si>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</si>
  <si>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</si>
  <si>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</si>
  <si>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</si>
  <si>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</si>
  <si>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</si>
  <si>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</si>
  <si>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</si>
  <si>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김용수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</si>
  <si>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</si>
  <si>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</si>
  <si>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- 누수탐사 공정에서 계획대비 성과 낮은 이유는 1, 2차년도 집중누수탐사로 유수율 향상이후 야간최소유량 변동이 적고, 누수 발생 빈도가 낮음 
- 유수율 100% 초과 블록 : 금성, 송곡, 등암, 강동, 도덕중블록
  1) 금성 : 11.20일 비교유량측정 결과 -23% 오차 발생으로 교정 완료
  2) 송곡 : 사용량대비 유량계 구경이 커 11.14일 유입유량계 직접 검침시작
  3) 등암 : 검침기간 상이 / 4) 강동 : 유량계 전단에 가압장이 있어 유량계 위치 이동 요청
  5) 도덕 : 유량계 점검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</si>
  <si>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</si>
  <si>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</si>
  <si>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</si>
  <si>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</si>
  <si>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</si>
  <si>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</si>
  <si>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</si>
  <si>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</si>
  <si>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</si>
  <si>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</si>
  <si>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</si>
  <si>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</si>
  <si>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</si>
  <si>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</si>
  <si>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</si>
  <si>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</si>
  <si>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</si>
  <si>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</si>
  <si>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</si>
  <si>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</si>
  <si>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</si>
  <si>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- 1차년도 유수율 산정 X , 2,3년차 85%이상
- 화천다리 공사로 인하여 유량계 전원이 나가있는 상태 공급량 판단이 안되는 상황 화천2,3,4블록 유수율 판단 불가(25.12월 중순 수리 예정)</t>
    <phoneticPr fontId="2" type="noConversion"/>
  </si>
  <si>
    <t>- 중블록간 경계해재(시종[종속배수지 행정],군서)
- 수질이상 과업 외 지역(신북배수지) 급수진행 중 유수율 값 상이</t>
    <phoneticPr fontId="2" type="noConversion"/>
  </si>
  <si>
    <t>-관망정비대상지역 설정 및 누수탐사 지속 진행</t>
    <phoneticPr fontId="2" type="noConversion"/>
  </si>
  <si>
    <t>- 목표유수율 소블록 전체 통합유수율
- 복원누수관련 대응, 관망정비 필요 지역 검토 및 제안 및 누수탐사 지속진행</t>
    <phoneticPr fontId="2" type="noConversion"/>
  </si>
  <si>
    <t>- YS-14 잔여 관망정비 공사를 통해 목표유수율 도달 및 유지 가능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</si>
  <si>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</si>
  <si>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</si>
  <si>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</si>
  <si>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25.11월</t>
    <phoneticPr fontId="2" type="noConversion"/>
  </si>
  <si>
    <t>상수도관망 
전문유지관리용역</t>
    <phoneticPr fontId="2" type="noConversion"/>
  </si>
  <si>
    <t>- 이토밸브 개방한 유량에 대해 향후 사용량 반영으로 유수율 회복 예상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</si>
  <si>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</si>
  <si>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</si>
  <si>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- 성과판정일 목표유수율 도달 가시화 시점으로 변경
  → 26.03월 이후로 계획 중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</si>
  <si>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</si>
  <si>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</si>
  <si>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</si>
  <si>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</si>
  <si>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5.0% 미달</t>
    <phoneticPr fontId="2" type="noConversion"/>
  </si>
  <si>
    <t>- 부과량 문제로 사업소에서 부과량 수정 작업 진행 중
  → 완료 이후 25.10월 유수율 산정 가능
- 25.12월 동절기 퇴수밸브 개방 진행으로 25.11 ~ 26.03월 까지 유수율 하락 예상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</si>
  <si>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</si>
  <si>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</si>
  <si>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유수율이 저조한 블록에 대해 단계시험 및 원격누수감시 i-LMS 설치하여 누수적출</t>
    <phoneticPr fontId="2" type="noConversion"/>
  </si>
  <si>
    <t>- 난음중블록의 노후 누수다발관 DCIP350 폐쇄 및 신설 진행 중(약 1km)
- 지족중블록 누수다발관 PE 200 폐쇄 및 신설 계획 중(발주처)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</si>
  <si>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</si>
  <si>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</si>
  <si>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</si>
  <si>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2.9% 미달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</si>
  <si>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</si>
  <si>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</si>
  <si>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</si>
  <si>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</si>
  <si>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</si>
  <si>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5개소 목표 미달</t>
    <phoneticPr fontId="2" type="noConversion"/>
  </si>
  <si>
    <t>61개소 목표 미달</t>
    <phoneticPr fontId="2" type="noConversion"/>
  </si>
  <si>
    <t>이성국</t>
    <phoneticPr fontId="2" type="noConversion"/>
  </si>
  <si>
    <t>- 12개월 누적 유수율 86.1%
- 성과보증보고서 작성</t>
    <phoneticPr fontId="2" type="noConversion"/>
  </si>
  <si>
    <t>- 유수율 70~80% 블록 위주로 야간최소유량 모니터링 실시 및 누수탐사 예정
- 104% 초과블록 → 509블록 공급량 비교분석 결과 15,000㎥ 감소(유량계 점검 요청)</t>
    <phoneticPr fontId="2" type="noConversion"/>
  </si>
  <si>
    <t>- 511블록(미구축)
  → 유량계 신설을 위한 확인터파기 예정(블록정비 업체, 담당주무관 확인)
- 547,548,549,551블록(남동공단_미고립)
  → 블록분할 및 블록정비 후 고립확인 예정
- 인천 특성상 100% 초과~104%미만은 검침일자 및 공급일 차이에 따른 변동 반영 인정
  → 따라서 104%초과, 미구축, 해제, 산정불가 블록은 유수율 70%로 보정값 적용</t>
    <phoneticPr fontId="2" type="noConversion"/>
  </si>
  <si>
    <t>- 미구축 블록의 구축 완료에 따라 야간 최소유량이 증가
- 10월 대비 11월 유수율 산정시 104% 초과 블록
  → 대수용가 비중이 큰 블록에 따른 변동 차이 큼 (원인:검칠일자 및 공급일 차이)
  → 수계전환으로 소화전 방류량 증가에 따른 초과</t>
    <phoneticPr fontId="2" type="noConversion"/>
  </si>
  <si>
    <t>- 유수율 및 야간최소유량을 통해 지속적인 누수탐사 실시 예정
- GIS 현행화 작업(경계변 확인, 급수전 블록내외 구분 등)</t>
    <phoneticPr fontId="2" type="noConversion"/>
  </si>
  <si>
    <t>-</t>
    <phoneticPr fontId="2" type="noConversion"/>
  </si>
  <si>
    <t>- 25.11월 유수율 산정 및 실정보고 이후 연차별 유수율 산정
- 성과판정 심의 문의 예정</t>
    <phoneticPr fontId="2" type="noConversion"/>
  </si>
  <si>
    <t xml:space="preserve">- 3차년도(25.06 ~ 25.11) 평균유수율 현황 : 85.1%
- 중블록 유량계를 통해 유수율 산정 </t>
    <phoneticPr fontId="2" type="noConversion"/>
  </si>
  <si>
    <t>- 3차년도(25.06 ~ 25.11) 평균유수율 현황 : 85.9%
- 겨울철 동파 방지를 위한 이토밸브 개방으로 유수율 일시 하락</t>
    <phoneticPr fontId="2" type="noConversion"/>
  </si>
  <si>
    <t xml:space="preserve">- 3차년도(25.06 ~ 25.11) 평균유수율 현황 : 82.0%
- 중블록 유량계를 통해 유수율 산정 </t>
    <phoneticPr fontId="2" type="noConversion"/>
  </si>
  <si>
    <t>5.7% 미달</t>
    <phoneticPr fontId="2" type="noConversion"/>
  </si>
  <si>
    <t>26개소 목표 미달</t>
    <phoneticPr fontId="2" type="noConversion"/>
  </si>
  <si>
    <t>14개소 목표 미달</t>
    <phoneticPr fontId="2" type="noConversion"/>
  </si>
  <si>
    <t>- 관망정비대상지역 설정 및 누수탐사 지속 진행</t>
    <phoneticPr fontId="2" type="noConversion"/>
  </si>
  <si>
    <t>- 복원누수관련 대응, 관망정비 필요 지역 검토 및 제안 및 누수탐사 지속진행</t>
    <phoneticPr fontId="2" type="noConversion"/>
  </si>
  <si>
    <t>- 유량계 검·교정 및 정확한 유수율 산정 후 집중누수탐사 계획</t>
    <phoneticPr fontId="2" type="noConversion"/>
  </si>
  <si>
    <t>- 유수율 70~80% 블록 위주로 야간최소유량 모니터링 실시 및 누수탐사 예정</t>
    <phoneticPr fontId="2" type="noConversion"/>
  </si>
  <si>
    <t>- 유수율 및 야간최소유량을 통해 지속적인 누수탐사 실시 예정</t>
    <phoneticPr fontId="2" type="noConversion"/>
  </si>
  <si>
    <t>- 25.10월 ~ 25.12월 유수율 모니터링 필요, 고립해제 의심 2개소(월산2-8, 송하13) 점검 필요</t>
    <phoneticPr fontId="2" type="noConversion"/>
  </si>
  <si>
    <t>- 준공시 블록별 유수율이 아닌 총괄유수율 적용으로 사업소와 협의</t>
    <phoneticPr fontId="2" type="noConversion"/>
  </si>
  <si>
    <t>- 과업기간 내 누수탐사 물량 수행 및 목표유수율 달성 시 준공 가능
- 최근 유수율(9월, 10월)이 높게 산정 → 부과량에 의한 일시적 상승 예상
- 1월 초 야간최소유량 이상으로 평균치가 높아짐 → 1월 중순 안정화 예상
- 각화2-4 야간최소유량 이상 → 영점 교정 필요</t>
    <phoneticPr fontId="2" type="noConversion"/>
  </si>
  <si>
    <t>- 필요시 과업기간까지 누수관리 후 일시중지하여 유수율 판정기간 소요 필요
- 25.10월 ~ 25.12월 유수율 모니터링 필요, 고립해제 의심 2개소(월산2-8, 송하13) 점검 필요
  → 월산2-8 소블록 경계 1개소 개방확인 및 차단 조치 완료(25.12월)
  → 송하13 소블록 경계밸브 의심 구간 정상 확인, 다량수용가 검침 불규칙에 의한 유수율 이상 추정
- 본부 협의 후 유량계 영점 교정 계획 제출 예정</t>
    <phoneticPr fontId="2" type="noConversion"/>
  </si>
  <si>
    <t>- 아산2블록 D200 누수수리로 야간최소 약 20㎥ 하락하여 12월 유수율 상승 예상(약 78%)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</si>
  <si>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</si>
  <si>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사업소 보고완료 월간공정 보고시 공문처리 예정
- 오차반영시 90%초반 유수율 예상</t>
    <phoneticPr fontId="2" type="noConversion"/>
  </si>
  <si>
    <t>-  10월 유수율 87.1% 목표유수율 도달에 따라 지속적 관리 필요</t>
    <phoneticPr fontId="2" type="noConversion"/>
  </si>
  <si>
    <t>-  미수리 16개소로 누수수리 시 유수율 상승 예상</t>
    <phoneticPr fontId="2" type="noConversion"/>
  </si>
  <si>
    <t>- 1월 16일 1차분 용역중지 예정
- 1월 19일 2차분 착수 예정</t>
    <phoneticPr fontId="2" type="noConversion"/>
  </si>
  <si>
    <t>- YS-14 잔여 관망정비 공사를 통해 목표유수율 도달 및 유지 가능
- 계량기 조사를 통해 누수확인 및 검침자료 검토</t>
    <phoneticPr fontId="2" type="noConversion"/>
  </si>
  <si>
    <t>- 실정보고 진행 완료 
  → 준공 조건 65%에 대한 사업소 검토 진행 예정
- 서면 지역 외 다른 중블록으로 부과되는 추가 수용가 확인 예정</t>
    <phoneticPr fontId="2" type="noConversion"/>
  </si>
  <si>
    <t>- 유량계 검·교정 및 정확한 유수율 산정 후 집중누수탐사 계획
- 계량기 전수 실사 확인 필요(원격 부과량 신뢰성 문제)</t>
    <phoneticPr fontId="2" type="noConversion"/>
  </si>
  <si>
    <t>11.7% 미달</t>
    <phoneticPr fontId="2" type="noConversion"/>
  </si>
  <si>
    <t>12.8%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</si>
</sst>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03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9" fillId="0" borderId="66" xfId="0" applyNumberFormat="1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6" xfId="1" applyNumberFormat="1" applyFont="1" applyBorder="1" applyAlignment="1">
      <alignment horizontal="center" vertical="center"/>
    </xf>
    <xf numFmtId="179" fontId="9" fillId="0" borderId="68" xfId="0" applyNumberFormat="1" applyFont="1" applyBorder="1" applyAlignment="1">
      <alignment horizontal="center" vertical="center"/>
    </xf>
    <xf numFmtId="181" fontId="9" fillId="0" borderId="66" xfId="1" applyNumberFormat="1" applyFont="1" applyBorder="1" applyAlignment="1">
      <alignment horizontal="center" vertical="center"/>
    </xf>
    <xf numFmtId="181" fontId="9" fillId="0" borderId="69" xfId="1" applyNumberFormat="1" applyFont="1" applyBorder="1" applyAlignment="1">
      <alignment horizontal="center" vertical="center"/>
    </xf>
    <xf numFmtId="181" fontId="9" fillId="0" borderId="68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4" fontId="19" fillId="0" borderId="66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76" fontId="8" fillId="12" borderId="42" xfId="2" applyNumberFormat="1" applyFont="1" applyFill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182" fontId="9" fillId="12" borderId="14" xfId="0" applyNumberFormat="1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41" fontId="18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horizontal="center" vertical="center" wrapText="1"/>
    </xf>
    <xf numFmtId="0" fontId="3" fillId="12" borderId="75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76" xfId="0" applyFont="1" applyFill="1" applyBorder="1" applyAlignment="1">
      <alignment horizontal="center" vertical="center" wrapText="1"/>
    </xf>
    <xf numFmtId="176" fontId="3" fillId="0" borderId="76" xfId="0" applyNumberFormat="1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quotePrefix="1" applyFont="1" applyBorder="1">
      <alignment vertical="center"/>
    </xf>
    <xf numFmtId="0" fontId="3" fillId="0" borderId="75" xfId="0" quotePrefix="1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76" fontId="9" fillId="0" borderId="19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19" xfId="2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176" fontId="9" fillId="0" borderId="47" xfId="0" applyNumberFormat="1" applyFont="1" applyBorder="1" applyAlignment="1">
      <alignment horizontal="center" vertical="center"/>
    </xf>
    <xf numFmtId="14" fontId="9" fillId="0" borderId="51" xfId="0" applyNumberFormat="1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0" fontId="9" fillId="0" borderId="45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178" fontId="9" fillId="0" borderId="31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48" xfId="0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9" xfId="0" applyFont="1" applyFill="1" applyBorder="1" applyAlignment="1">
      <alignment horizontal="left" vertical="center"/>
    </xf>
    <xf numFmtId="176" fontId="9" fillId="0" borderId="24" xfId="0" applyNumberFormat="1" applyFont="1" applyBorder="1" applyAlignment="1">
      <alignment horizontal="center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72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180" fontId="9" fillId="0" borderId="56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176" fontId="9" fillId="0" borderId="57" xfId="2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70" xfId="0" quotePrefix="1" applyFont="1" applyBorder="1" applyAlignment="1">
      <alignment horizontal="left" vertical="center" wrapText="1"/>
    </xf>
    <xf numFmtId="0" fontId="9" fillId="0" borderId="71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14" fontId="9" fillId="0" borderId="56" xfId="0" applyNumberFormat="1" applyFont="1" applyBorder="1" applyAlignment="1">
      <alignment horizontal="center" vertical="center"/>
    </xf>
    <xf numFmtId="14" fontId="9" fillId="0" borderId="18" xfId="0" applyNumberFormat="1" applyFont="1" applyBorder="1" applyAlignment="1">
      <alignment horizontal="center" vertical="center"/>
    </xf>
    <xf numFmtId="14" fontId="9" fillId="0" borderId="57" xfId="0" applyNumberFormat="1" applyFont="1" applyBorder="1" applyAlignment="1">
      <alignment horizontal="center" vertical="center"/>
    </xf>
    <xf numFmtId="177" fontId="9" fillId="0" borderId="58" xfId="0" applyNumberFormat="1" applyFont="1" applyBorder="1" applyAlignment="1">
      <alignment horizontal="center" vertical="center"/>
    </xf>
    <xf numFmtId="176" fontId="9" fillId="0" borderId="57" xfId="0" applyNumberFormat="1" applyFont="1" applyBorder="1" applyAlignment="1">
      <alignment horizontal="center" vertical="center"/>
    </xf>
    <xf numFmtId="178" fontId="9" fillId="0" borderId="57" xfId="1" applyNumberFormat="1" applyFont="1" applyBorder="1" applyAlignment="1">
      <alignment horizontal="center" vertical="center"/>
    </xf>
    <xf numFmtId="0" fontId="13" fillId="13" borderId="59" xfId="0" applyFont="1" applyFill="1" applyBorder="1" applyAlignment="1">
      <alignment horizontal="left" vertical="center" wrapText="1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8" fillId="12" borderId="63" xfId="0" applyFont="1" applyFill="1" applyBorder="1" applyAlignment="1">
      <alignment horizontal="left" vertical="center"/>
    </xf>
    <xf numFmtId="0" fontId="8" fillId="12" borderId="64" xfId="0" applyFont="1" applyFill="1" applyBorder="1" applyAlignment="1">
      <alignment horizontal="left" vertical="center"/>
    </xf>
    <xf numFmtId="0" fontId="8" fillId="12" borderId="65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3" xfId="0" quotePrefix="1" applyFont="1" applyBorder="1" applyAlignment="1">
      <alignment vertical="center" wrapText="1"/>
    </xf>
    <xf numFmtId="0" fontId="3" fillId="0" borderId="34" xfId="0" applyFont="1" applyBorder="1">
      <alignment vertical="center"/>
    </xf>
    <xf numFmtId="0" fontId="3" fillId="0" borderId="38" xfId="0" applyFont="1" applyBorder="1">
      <alignment vertical="center"/>
    </xf>
    <xf numFmtId="0" fontId="3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60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5" totalsRowShown="0" headerRowBorderDxfId="59" tableBorderDxfId="58" totalsRowBorderDxfId="57">
  <autoFilter ref="A1:C25" xr:uid="{C77189DE-6BE3-4A08-82EE-4719F9128D82}"/>
  <tableColumns count="3">
    <tableColumn id="1" xr3:uid="{28533935-5975-48C2-B965-3D085A89585F}" name="소속" dataDxfId="56"/>
    <tableColumn id="2" xr3:uid="{7A776625-AAA1-47A2-8126-4E942C8B6B1F}" name="현장" dataDxfId="55"/>
    <tableColumn id="3" xr3:uid="{E5DB95E5-8494-4A52-A968-D7E72E4B8F8A}" name="용역종류" dataDxfId="5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L20"/>
  <sheetViews>
    <sheetView workbookViewId="0">
      <selection activeCell="K7" sqref="K7"/>
    </sheetView>
  </sheetViews>
  <sheetFormatPr defaultRowHeight="16.5" x14ac:dyDescent="0.3"/>
  <cols>
    <col min="6" max="6" width="18.625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2" ht="37.5" x14ac:dyDescent="0.3">
      <c r="B4" s="119" t="s">
        <v>0</v>
      </c>
      <c r="C4" s="119" t="s">
        <v>58</v>
      </c>
      <c r="D4" s="119" t="s">
        <v>59</v>
      </c>
      <c r="E4" s="119" t="s">
        <v>4</v>
      </c>
      <c r="F4" s="119" t="s">
        <v>206</v>
      </c>
      <c r="G4" s="120" t="s">
        <v>25</v>
      </c>
      <c r="H4" s="120" t="s">
        <v>215</v>
      </c>
      <c r="I4" s="120" t="s">
        <v>203</v>
      </c>
      <c r="J4" s="120" t="s">
        <v>204</v>
      </c>
      <c r="K4" s="123" t="s">
        <v>205</v>
      </c>
      <c r="L4" s="120" t="s">
        <v>30</v>
      </c>
    </row>
    <row r="5" spans="2:12" ht="18.75" x14ac:dyDescent="0.3">
      <c r="B5" s="121">
        <v>1</v>
      </c>
      <c r="C5" s="117" t="s">
        <v>49</v>
      </c>
      <c r="D5" s="117" t="s">
        <v>64</v>
      </c>
      <c r="E5" s="117" t="s">
        <v>132</v>
      </c>
      <c r="F5" s="117" t="s">
        <v>61</v>
      </c>
      <c r="G5" s="117" t="s">
        <v>23</v>
      </c>
      <c r="H5" s="117" t="s">
        <v>197</v>
      </c>
      <c r="I5" s="118">
        <v>0.71099999999999997</v>
      </c>
      <c r="J5" s="118">
        <v>0.82499999999999996</v>
      </c>
      <c r="K5" s="124" t="s">
        <v>256</v>
      </c>
      <c r="L5" s="126" t="s">
        <v>193</v>
      </c>
    </row>
    <row r="6" spans="2:12" s="114" customFormat="1" ht="18.75" x14ac:dyDescent="0.3">
      <c r="B6" s="121">
        <v>2</v>
      </c>
      <c r="C6" s="117" t="s">
        <v>65</v>
      </c>
      <c r="D6" s="117" t="s">
        <v>66</v>
      </c>
      <c r="E6" s="117" t="s">
        <v>146</v>
      </c>
      <c r="F6" s="117" t="s">
        <v>61</v>
      </c>
      <c r="G6" s="117" t="s">
        <v>23</v>
      </c>
      <c r="H6" s="117" t="s">
        <v>197</v>
      </c>
      <c r="I6" s="118">
        <v>0.45700000000000002</v>
      </c>
      <c r="J6" s="118">
        <v>0.58199999999999996</v>
      </c>
      <c r="K6" s="125" t="s">
        <v>257</v>
      </c>
      <c r="L6" s="127" t="s">
        <v>238</v>
      </c>
    </row>
    <row r="7" spans="2:12" s="114" customFormat="1" ht="18.75" x14ac:dyDescent="0.3">
      <c r="B7" s="121">
        <v>3</v>
      </c>
      <c r="C7" s="117" t="s">
        <v>65</v>
      </c>
      <c r="D7" s="117" t="s">
        <v>66</v>
      </c>
      <c r="E7" s="117" t="s">
        <v>149</v>
      </c>
      <c r="F7" s="117" t="s">
        <v>80</v>
      </c>
      <c r="G7" s="117" t="s">
        <v>23</v>
      </c>
      <c r="H7" s="117" t="s">
        <v>197</v>
      </c>
      <c r="I7" s="118">
        <v>0.64300000000000002</v>
      </c>
      <c r="J7" s="118">
        <v>0.7</v>
      </c>
      <c r="K7" s="125" t="s">
        <v>235</v>
      </c>
      <c r="L7" s="127" t="s">
        <v>239</v>
      </c>
    </row>
    <row r="8" spans="2:12" s="114" customFormat="1" ht="18.75" x14ac:dyDescent="0.3">
      <c r="B8" s="121">
        <v>4</v>
      </c>
      <c r="C8" s="117" t="s">
        <v>68</v>
      </c>
      <c r="D8" s="117" t="s">
        <v>69</v>
      </c>
      <c r="E8" s="117" t="s">
        <v>114</v>
      </c>
      <c r="F8" s="117" t="s">
        <v>67</v>
      </c>
      <c r="G8" s="117" t="s">
        <v>23</v>
      </c>
      <c r="H8" s="117" t="s">
        <v>139</v>
      </c>
      <c r="I8" s="118">
        <v>0.8</v>
      </c>
      <c r="J8" s="118">
        <v>0.85</v>
      </c>
      <c r="K8" s="125" t="s">
        <v>207</v>
      </c>
      <c r="L8" s="127" t="s">
        <v>211</v>
      </c>
    </row>
    <row r="9" spans="2:12" s="114" customFormat="1" ht="18.75" x14ac:dyDescent="0.3">
      <c r="B9" s="121">
        <v>5</v>
      </c>
      <c r="C9" s="117" t="s">
        <v>49</v>
      </c>
      <c r="D9" s="117" t="s">
        <v>50</v>
      </c>
      <c r="E9" s="117" t="s">
        <v>53</v>
      </c>
      <c r="F9" s="117" t="s">
        <v>80</v>
      </c>
      <c r="G9" s="117" t="s">
        <v>15</v>
      </c>
      <c r="H9" s="117" t="s">
        <v>197</v>
      </c>
      <c r="I9" s="118">
        <v>0.621</v>
      </c>
      <c r="J9" s="118">
        <v>0.65</v>
      </c>
      <c r="K9" s="125" t="s">
        <v>216</v>
      </c>
      <c r="L9" s="127" t="s">
        <v>240</v>
      </c>
    </row>
    <row r="10" spans="2:12" s="114" customFormat="1" x14ac:dyDescent="0.3">
      <c r="I10" s="116"/>
      <c r="J10" s="116"/>
    </row>
    <row r="11" spans="2:12" s="114" customFormat="1" x14ac:dyDescent="0.3">
      <c r="I11" s="116"/>
      <c r="J11" s="116"/>
    </row>
    <row r="12" spans="2:12" s="114" customFormat="1" ht="37.5" x14ac:dyDescent="0.3">
      <c r="B12" s="119" t="s">
        <v>0</v>
      </c>
      <c r="C12" s="119" t="s">
        <v>58</v>
      </c>
      <c r="D12" s="119" t="s">
        <v>59</v>
      </c>
      <c r="E12" s="119" t="s">
        <v>4</v>
      </c>
      <c r="F12" s="119" t="s">
        <v>206</v>
      </c>
      <c r="G12" s="120" t="s">
        <v>217</v>
      </c>
      <c r="H12" s="120" t="s">
        <v>218</v>
      </c>
      <c r="I12" s="120" t="s">
        <v>219</v>
      </c>
      <c r="J12" s="120" t="s">
        <v>220</v>
      </c>
      <c r="K12" s="123" t="s">
        <v>205</v>
      </c>
      <c r="L12" s="120" t="s">
        <v>30</v>
      </c>
    </row>
    <row r="13" spans="2:12" s="114" customFormat="1" ht="18.75" x14ac:dyDescent="0.3">
      <c r="B13" s="121">
        <v>1</v>
      </c>
      <c r="C13" s="117" t="s">
        <v>39</v>
      </c>
      <c r="D13" s="117" t="s">
        <v>40</v>
      </c>
      <c r="E13" s="117" t="s">
        <v>43</v>
      </c>
      <c r="F13" s="117" t="s">
        <v>74</v>
      </c>
      <c r="G13" s="117">
        <v>52</v>
      </c>
      <c r="H13" s="117">
        <v>46</v>
      </c>
      <c r="I13" s="117">
        <v>26</v>
      </c>
      <c r="J13" s="117">
        <v>2</v>
      </c>
      <c r="K13" s="124" t="s">
        <v>236</v>
      </c>
      <c r="L13" s="127" t="s">
        <v>241</v>
      </c>
    </row>
    <row r="14" spans="2:12" s="114" customFormat="1" ht="18.75" x14ac:dyDescent="0.3">
      <c r="B14" s="121">
        <v>2</v>
      </c>
      <c r="C14" s="117" t="s">
        <v>39</v>
      </c>
      <c r="D14" s="117" t="s">
        <v>44</v>
      </c>
      <c r="E14" s="117" t="s">
        <v>45</v>
      </c>
      <c r="F14" s="117" t="s">
        <v>74</v>
      </c>
      <c r="G14" s="117">
        <v>43</v>
      </c>
      <c r="H14" s="117">
        <v>37</v>
      </c>
      <c r="I14" s="117">
        <v>29</v>
      </c>
      <c r="J14" s="117">
        <v>9</v>
      </c>
      <c r="K14" s="124" t="s">
        <v>237</v>
      </c>
      <c r="L14" s="127" t="s">
        <v>242</v>
      </c>
    </row>
    <row r="15" spans="2:12" s="114" customFormat="1" ht="18.75" x14ac:dyDescent="0.3">
      <c r="B15" s="121">
        <v>3</v>
      </c>
      <c r="C15" s="117" t="s">
        <v>77</v>
      </c>
      <c r="D15" s="117" t="s">
        <v>78</v>
      </c>
      <c r="E15" s="117" t="s">
        <v>157</v>
      </c>
      <c r="F15" s="117" t="s">
        <v>74</v>
      </c>
      <c r="G15" s="117">
        <v>27</v>
      </c>
      <c r="H15" s="117">
        <v>27</v>
      </c>
      <c r="I15" s="117">
        <v>11</v>
      </c>
      <c r="J15" s="117">
        <v>1</v>
      </c>
      <c r="K15" s="124" t="s">
        <v>221</v>
      </c>
      <c r="L15" s="127" t="s">
        <v>243</v>
      </c>
    </row>
    <row r="16" spans="2:12" s="114" customFormat="1" ht="18.75" x14ac:dyDescent="0.3">
      <c r="B16" s="121">
        <v>4</v>
      </c>
      <c r="C16" s="117" t="s">
        <v>49</v>
      </c>
      <c r="D16" s="117" t="s">
        <v>75</v>
      </c>
      <c r="E16" s="117" t="s">
        <v>112</v>
      </c>
      <c r="F16" s="117" t="s">
        <v>74</v>
      </c>
      <c r="G16" s="117">
        <v>10</v>
      </c>
      <c r="H16" s="117">
        <v>10</v>
      </c>
      <c r="I16" s="117">
        <v>5</v>
      </c>
      <c r="J16" s="117">
        <v>5</v>
      </c>
      <c r="K16" s="124" t="s">
        <v>222</v>
      </c>
      <c r="L16" s="127" t="s">
        <v>244</v>
      </c>
    </row>
    <row r="17" spans="2:12" s="114" customFormat="1" ht="18.75" x14ac:dyDescent="0.3">
      <c r="B17" s="121">
        <v>5</v>
      </c>
      <c r="C17" s="117" t="s">
        <v>162</v>
      </c>
      <c r="D17" s="117" t="s">
        <v>163</v>
      </c>
      <c r="E17" s="117" t="s">
        <v>164</v>
      </c>
      <c r="F17" s="117" t="s">
        <v>74</v>
      </c>
      <c r="G17" s="117">
        <v>92</v>
      </c>
      <c r="H17" s="117">
        <v>92</v>
      </c>
      <c r="I17" s="117">
        <v>31</v>
      </c>
      <c r="J17" s="117">
        <v>7</v>
      </c>
      <c r="K17" s="124" t="s">
        <v>223</v>
      </c>
      <c r="L17" s="128"/>
    </row>
    <row r="18" spans="2:12" s="114" customFormat="1" x14ac:dyDescent="0.3">
      <c r="I18" s="116"/>
      <c r="J18" s="116"/>
    </row>
    <row r="19" spans="2:12" x14ac:dyDescent="0.3">
      <c r="I19" s="115"/>
      <c r="J19" s="115"/>
    </row>
    <row r="20" spans="2:12" x14ac:dyDescent="0.3">
      <c r="I20" s="115"/>
      <c r="J20" s="11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7"/>
  <sheetViews>
    <sheetView tabSelected="1" zoomScale="70" zoomScaleNormal="70" workbookViewId="0">
      <pane xSplit="7" ySplit="6" topLeftCell="AD8" activePane="bottomRight" state="frozen"/>
      <selection pane="topRight" activeCell="H1" sqref="H1"/>
      <selection pane="bottomLeft" activeCell="A7" sqref="A7"/>
      <selection pane="bottomRight" activeCell="F15" sqref="F15:F18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87</v>
      </c>
    </row>
    <row r="2" spans="2:36" s="48" customFormat="1" ht="409.5" hidden="1" customHeight="1" outlineLevel="1" thickBot="1" x14ac:dyDescent="0.35">
      <c r="B2" s="275" t="s">
        <v>98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  <c r="AH2" s="275"/>
      <c r="AI2" s="275"/>
      <c r="AJ2" s="275"/>
    </row>
    <row r="3" spans="2:36" s="48" customFormat="1" ht="98.25" hidden="1" customHeight="1" outlineLevel="1" thickBot="1" x14ac:dyDescent="0.35">
      <c r="B3" s="275" t="s">
        <v>99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275"/>
      <c r="AD3" s="275"/>
      <c r="AE3" s="275"/>
      <c r="AF3" s="275"/>
      <c r="AG3" s="275"/>
      <c r="AH3" s="275"/>
      <c r="AI3" s="275"/>
      <c r="AJ3" s="275"/>
    </row>
    <row r="4" spans="2:36" s="44" customFormat="1" ht="32.1" customHeight="1" collapsed="1" x14ac:dyDescent="0.3">
      <c r="B4" s="251" t="s">
        <v>0</v>
      </c>
      <c r="C4" s="244" t="s">
        <v>1</v>
      </c>
      <c r="D4" s="244" t="s">
        <v>2</v>
      </c>
      <c r="E4" s="244" t="s">
        <v>9</v>
      </c>
      <c r="F4" s="244" t="s">
        <v>3</v>
      </c>
      <c r="G4" s="230" t="s">
        <v>4</v>
      </c>
      <c r="H4" s="249" t="s">
        <v>27</v>
      </c>
      <c r="I4" s="250"/>
      <c r="J4" s="250"/>
      <c r="K4" s="250"/>
      <c r="L4" s="250"/>
      <c r="M4" s="250"/>
      <c r="N4" s="250"/>
      <c r="O4" s="250"/>
      <c r="P4" s="232" t="s">
        <v>88</v>
      </c>
      <c r="Q4" s="233"/>
      <c r="R4" s="233"/>
      <c r="S4" s="233"/>
      <c r="T4" s="233"/>
      <c r="U4" s="234"/>
      <c r="V4" s="235" t="s">
        <v>89</v>
      </c>
      <c r="W4" s="236"/>
      <c r="X4" s="237"/>
      <c r="Y4" s="238"/>
      <c r="Z4" s="239" t="s">
        <v>90</v>
      </c>
      <c r="AA4" s="240"/>
      <c r="AB4" s="240"/>
      <c r="AC4" s="240"/>
      <c r="AD4" s="240"/>
      <c r="AE4" s="241"/>
      <c r="AF4" s="242"/>
      <c r="AG4" s="243" t="s">
        <v>20</v>
      </c>
      <c r="AH4" s="244"/>
      <c r="AI4" s="244" t="s">
        <v>30</v>
      </c>
      <c r="AJ4" s="247"/>
    </row>
    <row r="5" spans="2:36" s="45" customFormat="1" ht="37.5" customHeight="1" x14ac:dyDescent="0.3">
      <c r="B5" s="252"/>
      <c r="C5" s="246"/>
      <c r="D5" s="246"/>
      <c r="E5" s="246"/>
      <c r="F5" s="246"/>
      <c r="G5" s="231"/>
      <c r="H5" s="1" t="s">
        <v>25</v>
      </c>
      <c r="I5" s="2" t="s">
        <v>5</v>
      </c>
      <c r="J5" s="3" t="s">
        <v>34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46</v>
      </c>
      <c r="S5" s="5" t="s">
        <v>100</v>
      </c>
      <c r="T5" s="5" t="s">
        <v>101</v>
      </c>
      <c r="U5" s="6" t="s">
        <v>102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104</v>
      </c>
      <c r="AC5" s="12" t="s">
        <v>105</v>
      </c>
      <c r="AD5" s="13" t="s">
        <v>91</v>
      </c>
      <c r="AE5" s="13" t="s">
        <v>92</v>
      </c>
      <c r="AF5" s="14" t="s">
        <v>10</v>
      </c>
      <c r="AG5" s="245"/>
      <c r="AH5" s="246"/>
      <c r="AI5" s="246"/>
      <c r="AJ5" s="248"/>
    </row>
    <row r="6" spans="2:36" s="45" customFormat="1" ht="37.5" customHeight="1" x14ac:dyDescent="0.3">
      <c r="B6" s="276" t="s">
        <v>93</v>
      </c>
      <c r="C6" s="277"/>
      <c r="D6" s="277"/>
      <c r="E6" s="277"/>
      <c r="F6" s="277"/>
      <c r="G6" s="277"/>
      <c r="H6" s="277"/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  <c r="AC6" s="277"/>
      <c r="AD6" s="277"/>
      <c r="AE6" s="277"/>
      <c r="AF6" s="277"/>
      <c r="AG6" s="277"/>
      <c r="AH6" s="277"/>
      <c r="AI6" s="277"/>
      <c r="AJ6" s="278"/>
    </row>
    <row r="7" spans="2:36" s="46" customFormat="1" ht="35.1" customHeight="1" outlineLevel="1" x14ac:dyDescent="0.3">
      <c r="B7" s="295">
        <v>1</v>
      </c>
      <c r="C7" s="129" t="s">
        <v>11</v>
      </c>
      <c r="D7" s="129" t="s">
        <v>12</v>
      </c>
      <c r="E7" s="129" t="s">
        <v>13</v>
      </c>
      <c r="F7" s="129" t="s">
        <v>14</v>
      </c>
      <c r="G7" s="209" t="s">
        <v>224</v>
      </c>
      <c r="H7" s="159" t="s">
        <v>23</v>
      </c>
      <c r="I7" s="161">
        <v>0.85</v>
      </c>
      <c r="J7" s="129">
        <v>14</v>
      </c>
      <c r="K7" s="207" t="s">
        <v>26</v>
      </c>
      <c r="L7" s="131">
        <v>0.495</v>
      </c>
      <c r="M7" s="15">
        <v>0.873</v>
      </c>
      <c r="N7" s="15">
        <f>IF((((($I7-$L7)/($AD7-$Z7))*($N8-$Z7))+$L7)&gt;0.85,$I7,((($I7-$L7)/($AD7-$Z7))*($N8-$Z7))+$L7)</f>
        <v>0.85</v>
      </c>
      <c r="O7" s="15">
        <f>M7-N7</f>
        <v>2.300000000000002E-2</v>
      </c>
      <c r="P7" s="16">
        <v>14</v>
      </c>
      <c r="Q7" s="17" t="s">
        <v>15</v>
      </c>
      <c r="R7" s="18" t="s">
        <v>15</v>
      </c>
      <c r="S7" s="208" t="s">
        <v>15</v>
      </c>
      <c r="T7" s="208">
        <v>221</v>
      </c>
      <c r="U7" s="19">
        <v>251</v>
      </c>
      <c r="V7" s="165" t="s">
        <v>15</v>
      </c>
      <c r="W7" s="129" t="s">
        <v>15</v>
      </c>
      <c r="X7" s="20" t="s">
        <v>15</v>
      </c>
      <c r="Y7" s="21" t="s">
        <v>15</v>
      </c>
      <c r="Z7" s="133">
        <v>44547</v>
      </c>
      <c r="AA7" s="135">
        <v>46361</v>
      </c>
      <c r="AB7" s="74">
        <v>45397</v>
      </c>
      <c r="AC7" s="74">
        <v>45648</v>
      </c>
      <c r="AD7" s="135">
        <v>45915</v>
      </c>
      <c r="AE7" s="135">
        <v>46280</v>
      </c>
      <c r="AF7" s="136">
        <f ca="1">AA7-TODAY()</f>
        <v>326</v>
      </c>
      <c r="AG7" s="138" t="s">
        <v>97</v>
      </c>
      <c r="AH7" s="152"/>
      <c r="AI7" s="173"/>
      <c r="AJ7" s="174"/>
    </row>
    <row r="8" spans="2:36" s="46" customFormat="1" ht="24.95" customHeight="1" outlineLevel="1" x14ac:dyDescent="0.3">
      <c r="B8" s="296"/>
      <c r="C8" s="185"/>
      <c r="D8" s="185"/>
      <c r="E8" s="185"/>
      <c r="F8" s="185"/>
      <c r="G8" s="186"/>
      <c r="H8" s="189"/>
      <c r="I8" s="191"/>
      <c r="J8" s="130"/>
      <c r="K8" s="178"/>
      <c r="L8" s="132"/>
      <c r="M8" s="22" t="s">
        <v>197</v>
      </c>
      <c r="N8" s="23">
        <v>46035</v>
      </c>
      <c r="O8" s="24" t="str">
        <f>IF(O7&gt;0,"초과","미달")</f>
        <v>초과</v>
      </c>
      <c r="P8" s="67">
        <f>$P7/$J7</f>
        <v>1</v>
      </c>
      <c r="Q8" s="68" t="s">
        <v>15</v>
      </c>
      <c r="R8" s="68" t="s">
        <v>15</v>
      </c>
      <c r="S8" s="181"/>
      <c r="T8" s="181"/>
      <c r="U8" s="25" t="str">
        <f>IF((T7-U7)&lt;0,(U7-T7)&amp;"㎥"&amp;" "&amp;"미달",(T7-U7)&amp;"㎥"&amp;" "&amp;"초과")</f>
        <v>30㎥ 미달</v>
      </c>
      <c r="V8" s="134"/>
      <c r="W8" s="130"/>
      <c r="X8" s="26" t="s">
        <v>15</v>
      </c>
      <c r="Y8" s="25" t="s">
        <v>15</v>
      </c>
      <c r="Z8" s="134"/>
      <c r="AA8" s="130"/>
      <c r="AB8" s="26" t="s">
        <v>107</v>
      </c>
      <c r="AC8" s="90">
        <f>AC7-AB7</f>
        <v>251</v>
      </c>
      <c r="AD8" s="184"/>
      <c r="AE8" s="130"/>
      <c r="AF8" s="137"/>
      <c r="AG8" s="153"/>
      <c r="AH8" s="154"/>
      <c r="AI8" s="157"/>
      <c r="AJ8" s="158"/>
    </row>
    <row r="9" spans="2:36" s="46" customFormat="1" ht="35.1" customHeight="1" outlineLevel="1" x14ac:dyDescent="0.3">
      <c r="B9" s="296"/>
      <c r="C9" s="185"/>
      <c r="D9" s="185"/>
      <c r="E9" s="185"/>
      <c r="F9" s="185"/>
      <c r="G9" s="186"/>
      <c r="H9" s="188" t="s">
        <v>24</v>
      </c>
      <c r="I9" s="190" t="s">
        <v>15</v>
      </c>
      <c r="J9" s="185" t="s">
        <v>15</v>
      </c>
      <c r="K9" s="185" t="s">
        <v>15</v>
      </c>
      <c r="L9" s="185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148" t="s">
        <v>15</v>
      </c>
      <c r="T9" s="148" t="s">
        <v>15</v>
      </c>
      <c r="U9" s="31" t="s">
        <v>15</v>
      </c>
      <c r="V9" s="165" t="s">
        <v>15</v>
      </c>
      <c r="W9" s="129" t="s">
        <v>15</v>
      </c>
      <c r="X9" s="27" t="s">
        <v>15</v>
      </c>
      <c r="Y9" s="32" t="s">
        <v>15</v>
      </c>
      <c r="Z9" s="165" t="s">
        <v>15</v>
      </c>
      <c r="AA9" s="129" t="s">
        <v>15</v>
      </c>
      <c r="AB9" s="74" t="s">
        <v>106</v>
      </c>
      <c r="AC9" s="74" t="s">
        <v>106</v>
      </c>
      <c r="AD9" s="129" t="s">
        <v>15</v>
      </c>
      <c r="AE9" s="129" t="s">
        <v>15</v>
      </c>
      <c r="AF9" s="167" t="s">
        <v>15</v>
      </c>
      <c r="AG9" s="197"/>
      <c r="AH9" s="198"/>
      <c r="AI9" s="155"/>
      <c r="AJ9" s="156"/>
    </row>
    <row r="10" spans="2:36" s="46" customFormat="1" ht="24.95" customHeight="1" outlineLevel="1" x14ac:dyDescent="0.3">
      <c r="B10" s="297"/>
      <c r="C10" s="130"/>
      <c r="D10" s="130"/>
      <c r="E10" s="130"/>
      <c r="F10" s="130"/>
      <c r="G10" s="210"/>
      <c r="H10" s="189"/>
      <c r="I10" s="191"/>
      <c r="J10" s="130"/>
      <c r="K10" s="130"/>
      <c r="L10" s="130"/>
      <c r="M10" s="91" t="s">
        <v>15</v>
      </c>
      <c r="N10" s="92" t="s">
        <v>15</v>
      </c>
      <c r="O10" s="93" t="s">
        <v>15</v>
      </c>
      <c r="P10" s="94" t="s">
        <v>15</v>
      </c>
      <c r="Q10" s="75" t="s">
        <v>15</v>
      </c>
      <c r="R10" s="75" t="s">
        <v>15</v>
      </c>
      <c r="S10" s="149"/>
      <c r="T10" s="149"/>
      <c r="U10" s="40" t="s">
        <v>15</v>
      </c>
      <c r="V10" s="134"/>
      <c r="W10" s="130"/>
      <c r="X10" s="41" t="s">
        <v>15</v>
      </c>
      <c r="Y10" s="40" t="s">
        <v>15</v>
      </c>
      <c r="Z10" s="134"/>
      <c r="AA10" s="130"/>
      <c r="AB10" s="95" t="s">
        <v>106</v>
      </c>
      <c r="AC10" s="90" t="str">
        <f>IFERROR(AC9-AB9,"-")</f>
        <v>-</v>
      </c>
      <c r="AD10" s="130"/>
      <c r="AE10" s="130"/>
      <c r="AF10" s="228"/>
      <c r="AG10" s="211"/>
      <c r="AH10" s="212"/>
      <c r="AI10" s="157"/>
      <c r="AJ10" s="158"/>
    </row>
    <row r="11" spans="2:36" s="46" customFormat="1" ht="24.95" customHeight="1" outlineLevel="1" x14ac:dyDescent="0.3">
      <c r="B11" s="295">
        <v>2</v>
      </c>
      <c r="C11" s="129" t="s">
        <v>62</v>
      </c>
      <c r="D11" s="129" t="s">
        <v>63</v>
      </c>
      <c r="E11" s="129" t="s">
        <v>13</v>
      </c>
      <c r="F11" s="129" t="s">
        <v>14</v>
      </c>
      <c r="G11" s="209" t="s">
        <v>115</v>
      </c>
      <c r="H11" s="159" t="s">
        <v>23</v>
      </c>
      <c r="I11" s="161">
        <v>0.85</v>
      </c>
      <c r="J11" s="129">
        <v>9</v>
      </c>
      <c r="K11" s="207" t="s">
        <v>116</v>
      </c>
      <c r="L11" s="131">
        <v>0.60099999999999998</v>
      </c>
      <c r="M11" s="15">
        <v>0.86199999999999999</v>
      </c>
      <c r="N11" s="15">
        <f>IF((((($I11-$L11)/($AD11-$Z11))*($N12-$Z11))+$L11)&gt;0.85,$I11,((($I11-$L11)/($AD11-$Z11))*($N12-$Z11))+$L11)</f>
        <v>0.85</v>
      </c>
      <c r="O11" s="15">
        <f>M11-N11</f>
        <v>1.2000000000000011E-2</v>
      </c>
      <c r="P11" s="16">
        <v>9</v>
      </c>
      <c r="Q11" s="18" t="s">
        <v>15</v>
      </c>
      <c r="R11" s="18" t="s">
        <v>15</v>
      </c>
      <c r="S11" s="208">
        <v>129.1</v>
      </c>
      <c r="T11" s="208">
        <v>102</v>
      </c>
      <c r="U11" s="19">
        <v>95</v>
      </c>
      <c r="V11" s="146">
        <v>110</v>
      </c>
      <c r="W11" s="96">
        <v>191</v>
      </c>
      <c r="X11" s="97">
        <f>($V11/($AA11-$Z11))*($N12-$Z11)</f>
        <v>107.83132530120481</v>
      </c>
      <c r="Y11" s="98">
        <f>IF((W11-X11)&lt;0,(X11-W11),(W11-X11))</f>
        <v>83.168674698795186</v>
      </c>
      <c r="Z11" s="133">
        <v>45140</v>
      </c>
      <c r="AA11" s="135">
        <v>46053</v>
      </c>
      <c r="AB11" s="74" t="s">
        <v>110</v>
      </c>
      <c r="AC11" s="74" t="s">
        <v>110</v>
      </c>
      <c r="AD11" s="135">
        <v>45616</v>
      </c>
      <c r="AE11" s="135">
        <v>45980</v>
      </c>
      <c r="AF11" s="136">
        <f ca="1">AA11-TODAY()</f>
        <v>18</v>
      </c>
      <c r="AG11" s="138" t="s">
        <v>225</v>
      </c>
      <c r="AH11" s="152"/>
      <c r="AI11" s="173"/>
      <c r="AJ11" s="174"/>
    </row>
    <row r="12" spans="2:36" s="46" customFormat="1" ht="24.95" customHeight="1" outlineLevel="1" x14ac:dyDescent="0.3">
      <c r="B12" s="296"/>
      <c r="C12" s="185"/>
      <c r="D12" s="185"/>
      <c r="E12" s="185"/>
      <c r="F12" s="185"/>
      <c r="G12" s="186"/>
      <c r="H12" s="189"/>
      <c r="I12" s="191"/>
      <c r="J12" s="130"/>
      <c r="K12" s="178"/>
      <c r="L12" s="132"/>
      <c r="M12" s="22" t="s">
        <v>197</v>
      </c>
      <c r="N12" s="23">
        <v>46035</v>
      </c>
      <c r="O12" s="24" t="str">
        <f>IF(O11&gt;0,"초과","미달")</f>
        <v>초과</v>
      </c>
      <c r="P12" s="67">
        <f>$P11/$J11</f>
        <v>1</v>
      </c>
      <c r="Q12" s="68" t="s">
        <v>15</v>
      </c>
      <c r="R12" s="68" t="s">
        <v>15</v>
      </c>
      <c r="S12" s="181"/>
      <c r="T12" s="181"/>
      <c r="U12" s="25" t="str">
        <f>IF((T11-U11)&lt;0,(U11-T11)&amp;"㎥"&amp;" "&amp;"미달",(T11-U11)&amp;"㎥"&amp;" "&amp;"초과")</f>
        <v>7㎥ 초과</v>
      </c>
      <c r="V12" s="147"/>
      <c r="W12" s="84">
        <f>$W11/$V11</f>
        <v>1.7363636363636363</v>
      </c>
      <c r="X12" s="84">
        <f>X11/V11</f>
        <v>0.9802847754654983</v>
      </c>
      <c r="Y12" s="25" t="str">
        <f>IF((W11-X11)&lt;0,"미달","초과")</f>
        <v>초과</v>
      </c>
      <c r="Z12" s="134"/>
      <c r="AA12" s="130"/>
      <c r="AB12" s="26" t="s">
        <v>15</v>
      </c>
      <c r="AC12" s="90" t="str">
        <f>IFERROR(AC11-AB11,"-")</f>
        <v>-</v>
      </c>
      <c r="AD12" s="184"/>
      <c r="AE12" s="130"/>
      <c r="AF12" s="137"/>
      <c r="AG12" s="153"/>
      <c r="AH12" s="154"/>
      <c r="AI12" s="157"/>
      <c r="AJ12" s="158"/>
    </row>
    <row r="13" spans="2:36" s="46" customFormat="1" ht="24.95" customHeight="1" outlineLevel="1" x14ac:dyDescent="0.3">
      <c r="B13" s="296"/>
      <c r="C13" s="185"/>
      <c r="D13" s="185"/>
      <c r="E13" s="185"/>
      <c r="F13" s="185"/>
      <c r="G13" s="186"/>
      <c r="H13" s="188" t="s">
        <v>24</v>
      </c>
      <c r="I13" s="190" t="s">
        <v>15</v>
      </c>
      <c r="J13" s="185" t="s">
        <v>15</v>
      </c>
      <c r="K13" s="185" t="s">
        <v>15</v>
      </c>
      <c r="L13" s="185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148" t="s">
        <v>15</v>
      </c>
      <c r="T13" s="148" t="s">
        <v>15</v>
      </c>
      <c r="U13" s="31" t="s">
        <v>15</v>
      </c>
      <c r="V13" s="165" t="s">
        <v>15</v>
      </c>
      <c r="W13" s="129" t="s">
        <v>15</v>
      </c>
      <c r="X13" s="27" t="s">
        <v>15</v>
      </c>
      <c r="Y13" s="32" t="s">
        <v>15</v>
      </c>
      <c r="Z13" s="165" t="s">
        <v>15</v>
      </c>
      <c r="AA13" s="129" t="s">
        <v>15</v>
      </c>
      <c r="AB13" s="79" t="s">
        <v>15</v>
      </c>
      <c r="AC13" s="79" t="s">
        <v>15</v>
      </c>
      <c r="AD13" s="170" t="s">
        <v>15</v>
      </c>
      <c r="AE13" s="129" t="s">
        <v>15</v>
      </c>
      <c r="AF13" s="167" t="s">
        <v>15</v>
      </c>
      <c r="AG13" s="197"/>
      <c r="AH13" s="198"/>
      <c r="AI13" s="155"/>
      <c r="AJ13" s="156"/>
    </row>
    <row r="14" spans="2:36" s="46" customFormat="1" ht="24.95" customHeight="1" outlineLevel="1" x14ac:dyDescent="0.3">
      <c r="B14" s="297"/>
      <c r="C14" s="130"/>
      <c r="D14" s="130"/>
      <c r="E14" s="130"/>
      <c r="F14" s="130"/>
      <c r="G14" s="210"/>
      <c r="H14" s="189"/>
      <c r="I14" s="191"/>
      <c r="J14" s="130"/>
      <c r="K14" s="130"/>
      <c r="L14" s="130"/>
      <c r="M14" s="91" t="s">
        <v>15</v>
      </c>
      <c r="N14" s="92" t="s">
        <v>15</v>
      </c>
      <c r="O14" s="93" t="s">
        <v>15</v>
      </c>
      <c r="P14" s="94" t="s">
        <v>15</v>
      </c>
      <c r="Q14" s="75" t="s">
        <v>15</v>
      </c>
      <c r="R14" s="75" t="s">
        <v>15</v>
      </c>
      <c r="S14" s="149"/>
      <c r="T14" s="149"/>
      <c r="U14" s="40" t="s">
        <v>15</v>
      </c>
      <c r="V14" s="134"/>
      <c r="W14" s="130"/>
      <c r="X14" s="41" t="s">
        <v>15</v>
      </c>
      <c r="Y14" s="40" t="s">
        <v>15</v>
      </c>
      <c r="Z14" s="134"/>
      <c r="AA14" s="130"/>
      <c r="AB14" s="41" t="s">
        <v>15</v>
      </c>
      <c r="AC14" s="75" t="s">
        <v>15</v>
      </c>
      <c r="AD14" s="212"/>
      <c r="AE14" s="130"/>
      <c r="AF14" s="228"/>
      <c r="AG14" s="211"/>
      <c r="AH14" s="212"/>
      <c r="AI14" s="157"/>
      <c r="AJ14" s="158"/>
    </row>
    <row r="15" spans="2:36" s="46" customFormat="1" ht="24.95" customHeight="1" outlineLevel="1" x14ac:dyDescent="0.3">
      <c r="B15" s="295">
        <v>3</v>
      </c>
      <c r="C15" s="129" t="s">
        <v>49</v>
      </c>
      <c r="D15" s="129" t="s">
        <v>64</v>
      </c>
      <c r="E15" s="129" t="s">
        <v>13</v>
      </c>
      <c r="F15" s="129" t="s">
        <v>14</v>
      </c>
      <c r="G15" s="209" t="s">
        <v>132</v>
      </c>
      <c r="H15" s="159" t="s">
        <v>23</v>
      </c>
      <c r="I15" s="161">
        <v>0.85</v>
      </c>
      <c r="J15" s="129">
        <v>2</v>
      </c>
      <c r="K15" s="207" t="s">
        <v>133</v>
      </c>
      <c r="L15" s="131">
        <v>0.40400000000000003</v>
      </c>
      <c r="M15" s="15">
        <v>0.71099999999999997</v>
      </c>
      <c r="N15" s="15">
        <f>IF((((($I15-$L15)/($AD15-$Z15))*($N16-$Z15))+$L15)&gt;0.85,$I15,((($I15-$L15)/($AD15-$Z15))*($N16-$Z15))+$L15)</f>
        <v>0.82769999999999988</v>
      </c>
      <c r="O15" s="15">
        <f>M15-N15</f>
        <v>-0.11669999999999991</v>
      </c>
      <c r="P15" s="16">
        <v>2</v>
      </c>
      <c r="Q15" s="17" t="s">
        <v>15</v>
      </c>
      <c r="R15" s="17">
        <v>1</v>
      </c>
      <c r="S15" s="208">
        <v>190</v>
      </c>
      <c r="T15" s="208">
        <v>74</v>
      </c>
      <c r="U15" s="19">
        <v>86</v>
      </c>
      <c r="V15" s="146">
        <v>37</v>
      </c>
      <c r="W15" s="96">
        <v>67</v>
      </c>
      <c r="X15" s="97">
        <f>($V15/($AA15-$Z15))*($N16-$Z15)</f>
        <v>26.369513168395848</v>
      </c>
      <c r="Y15" s="98">
        <f>IF((W15-X15)&lt;0,(X15-W15),(W15-X15))</f>
        <v>40.630486831604152</v>
      </c>
      <c r="Z15" s="133">
        <v>45142</v>
      </c>
      <c r="AA15" s="135">
        <v>46395</v>
      </c>
      <c r="AB15" s="74" t="s">
        <v>15</v>
      </c>
      <c r="AC15" s="74" t="s">
        <v>15</v>
      </c>
      <c r="AD15" s="135">
        <v>46082</v>
      </c>
      <c r="AE15" s="135">
        <v>46446</v>
      </c>
      <c r="AF15" s="136">
        <f ca="1">AA15-TODAY()</f>
        <v>360</v>
      </c>
      <c r="AG15" s="138" t="s">
        <v>202</v>
      </c>
      <c r="AH15" s="152"/>
      <c r="AI15" s="200" t="s">
        <v>253</v>
      </c>
      <c r="AJ15" s="201"/>
    </row>
    <row r="16" spans="2:36" s="46" customFormat="1" ht="24.95" customHeight="1" outlineLevel="1" x14ac:dyDescent="0.3">
      <c r="B16" s="296"/>
      <c r="C16" s="185"/>
      <c r="D16" s="185"/>
      <c r="E16" s="185"/>
      <c r="F16" s="185"/>
      <c r="G16" s="186"/>
      <c r="H16" s="189"/>
      <c r="I16" s="191"/>
      <c r="J16" s="130"/>
      <c r="K16" s="178"/>
      <c r="L16" s="132"/>
      <c r="M16" s="22" t="s">
        <v>197</v>
      </c>
      <c r="N16" s="23">
        <v>46035</v>
      </c>
      <c r="O16" s="24" t="str">
        <f>IF(O15&gt;0,"초과","미달")</f>
        <v>미달</v>
      </c>
      <c r="P16" s="67">
        <f>$P15/$J15</f>
        <v>1</v>
      </c>
      <c r="Q16" s="68" t="s">
        <v>15</v>
      </c>
      <c r="R16" s="68">
        <f>IF($R15/$J15=0,"-",$R15/$J15)</f>
        <v>0.5</v>
      </c>
      <c r="S16" s="181"/>
      <c r="T16" s="181"/>
      <c r="U16" s="25" t="str">
        <f>IF((T15-U15)&lt;0,(U15-T15)&amp;"㎥"&amp;" "&amp;"미달",(T15-U15)&amp;"㎥"&amp;" "&amp;"초과")</f>
        <v>12㎥ 미달</v>
      </c>
      <c r="V16" s="147"/>
      <c r="W16" s="84">
        <f>$W15/$V15</f>
        <v>1.8108108108108107</v>
      </c>
      <c r="X16" s="84">
        <f>X15/V15</f>
        <v>0.71268954509177962</v>
      </c>
      <c r="Y16" s="25" t="str">
        <f>IF((W15-X15)&lt;0,"미달","초과")</f>
        <v>초과</v>
      </c>
      <c r="Z16" s="134"/>
      <c r="AA16" s="130"/>
      <c r="AB16" s="95" t="s">
        <v>15</v>
      </c>
      <c r="AC16" s="90" t="str">
        <f>IFERROR(AC15-AB15,"-")</f>
        <v>-</v>
      </c>
      <c r="AD16" s="184"/>
      <c r="AE16" s="130"/>
      <c r="AF16" s="137"/>
      <c r="AG16" s="153"/>
      <c r="AH16" s="154"/>
      <c r="AI16" s="202"/>
      <c r="AJ16" s="203"/>
    </row>
    <row r="17" spans="2:36" s="46" customFormat="1" ht="24.95" customHeight="1" outlineLevel="1" x14ac:dyDescent="0.3">
      <c r="B17" s="296"/>
      <c r="C17" s="185"/>
      <c r="D17" s="185"/>
      <c r="E17" s="185"/>
      <c r="F17" s="185"/>
      <c r="G17" s="186"/>
      <c r="H17" s="188" t="s">
        <v>24</v>
      </c>
      <c r="I17" s="190" t="s">
        <v>15</v>
      </c>
      <c r="J17" s="185" t="s">
        <v>15</v>
      </c>
      <c r="K17" s="185" t="s">
        <v>15</v>
      </c>
      <c r="L17" s="185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148" t="s">
        <v>15</v>
      </c>
      <c r="T17" s="148" t="s">
        <v>15</v>
      </c>
      <c r="U17" s="31" t="s">
        <v>15</v>
      </c>
      <c r="V17" s="165" t="s">
        <v>15</v>
      </c>
      <c r="W17" s="129" t="s">
        <v>15</v>
      </c>
      <c r="X17" s="27" t="s">
        <v>15</v>
      </c>
      <c r="Y17" s="32" t="s">
        <v>15</v>
      </c>
      <c r="Z17" s="165" t="s">
        <v>15</v>
      </c>
      <c r="AA17" s="129" t="s">
        <v>15</v>
      </c>
      <c r="AB17" s="79" t="s">
        <v>15</v>
      </c>
      <c r="AC17" s="79" t="s">
        <v>15</v>
      </c>
      <c r="AD17" s="170" t="s">
        <v>15</v>
      </c>
      <c r="AE17" s="129" t="s">
        <v>15</v>
      </c>
      <c r="AF17" s="167" t="s">
        <v>15</v>
      </c>
      <c r="AG17" s="197"/>
      <c r="AH17" s="198"/>
      <c r="AI17" s="155"/>
      <c r="AJ17" s="156"/>
    </row>
    <row r="18" spans="2:36" s="46" customFormat="1" ht="23.25" customHeight="1" outlineLevel="1" x14ac:dyDescent="0.3">
      <c r="B18" s="297"/>
      <c r="C18" s="130"/>
      <c r="D18" s="130"/>
      <c r="E18" s="130"/>
      <c r="F18" s="130"/>
      <c r="G18" s="210"/>
      <c r="H18" s="189"/>
      <c r="I18" s="191"/>
      <c r="J18" s="130"/>
      <c r="K18" s="130"/>
      <c r="L18" s="130"/>
      <c r="M18" s="91" t="s">
        <v>15</v>
      </c>
      <c r="N18" s="92" t="s">
        <v>15</v>
      </c>
      <c r="O18" s="93" t="s">
        <v>15</v>
      </c>
      <c r="P18" s="94" t="s">
        <v>15</v>
      </c>
      <c r="Q18" s="75" t="s">
        <v>15</v>
      </c>
      <c r="R18" s="75" t="s">
        <v>15</v>
      </c>
      <c r="S18" s="149"/>
      <c r="T18" s="149"/>
      <c r="U18" s="40" t="s">
        <v>15</v>
      </c>
      <c r="V18" s="134"/>
      <c r="W18" s="130"/>
      <c r="X18" s="41" t="s">
        <v>15</v>
      </c>
      <c r="Y18" s="40" t="s">
        <v>15</v>
      </c>
      <c r="Z18" s="134"/>
      <c r="AA18" s="130"/>
      <c r="AB18" s="41" t="s">
        <v>15</v>
      </c>
      <c r="AC18" s="75" t="s">
        <v>15</v>
      </c>
      <c r="AD18" s="212"/>
      <c r="AE18" s="130"/>
      <c r="AF18" s="228"/>
      <c r="AG18" s="211"/>
      <c r="AH18" s="212"/>
      <c r="AI18" s="157"/>
      <c r="AJ18" s="158"/>
    </row>
    <row r="19" spans="2:36" s="46" customFormat="1" ht="23.25" customHeight="1" outlineLevel="1" x14ac:dyDescent="0.3">
      <c r="B19" s="295">
        <v>4</v>
      </c>
      <c r="C19" s="129" t="s">
        <v>65</v>
      </c>
      <c r="D19" s="129" t="s">
        <v>66</v>
      </c>
      <c r="E19" s="129" t="s">
        <v>141</v>
      </c>
      <c r="F19" s="129" t="s">
        <v>14</v>
      </c>
      <c r="G19" s="209" t="s">
        <v>142</v>
      </c>
      <c r="H19" s="159" t="s">
        <v>23</v>
      </c>
      <c r="I19" s="161">
        <v>0.85</v>
      </c>
      <c r="J19" s="129">
        <v>10</v>
      </c>
      <c r="K19" s="207" t="s">
        <v>143</v>
      </c>
      <c r="L19" s="131">
        <v>0.47099999999999997</v>
      </c>
      <c r="M19" s="15">
        <v>0.82099999999999995</v>
      </c>
      <c r="N19" s="15">
        <f>IF((((($I19-$L19)/($AD19-$Z19))*($N20-$Z19))+$L19)&gt;0.85,$I19,((($I19-$L19)/($AD19-$Z19))*($N20-$Z19))+$L19)</f>
        <v>0.85</v>
      </c>
      <c r="O19" s="15">
        <f>M19-N19</f>
        <v>-2.9000000000000026E-2</v>
      </c>
      <c r="P19" s="16">
        <v>10</v>
      </c>
      <c r="Q19" s="17" t="s">
        <v>15</v>
      </c>
      <c r="R19" s="18" t="s">
        <v>15</v>
      </c>
      <c r="S19" s="208" t="s">
        <v>15</v>
      </c>
      <c r="T19" s="208" t="s">
        <v>15</v>
      </c>
      <c r="U19" s="19" t="s">
        <v>15</v>
      </c>
      <c r="V19" s="165" t="s">
        <v>15</v>
      </c>
      <c r="W19" s="129" t="s">
        <v>15</v>
      </c>
      <c r="X19" s="20" t="s">
        <v>15</v>
      </c>
      <c r="Y19" s="21" t="s">
        <v>15</v>
      </c>
      <c r="Z19" s="133">
        <v>44550</v>
      </c>
      <c r="AA19" s="135">
        <v>46358</v>
      </c>
      <c r="AB19" s="74" t="s">
        <v>15</v>
      </c>
      <c r="AC19" s="74" t="s">
        <v>15</v>
      </c>
      <c r="AD19" s="135">
        <v>45891</v>
      </c>
      <c r="AE19" s="135">
        <v>46255</v>
      </c>
      <c r="AF19" s="136">
        <f ca="1">AA19-TODAY()</f>
        <v>323</v>
      </c>
      <c r="AG19" s="138" t="s">
        <v>144</v>
      </c>
      <c r="AH19" s="152"/>
      <c r="AI19" s="173"/>
      <c r="AJ19" s="174"/>
    </row>
    <row r="20" spans="2:36" s="46" customFormat="1" ht="23.25" customHeight="1" outlineLevel="1" x14ac:dyDescent="0.3">
      <c r="B20" s="296"/>
      <c r="C20" s="185"/>
      <c r="D20" s="185"/>
      <c r="E20" s="185"/>
      <c r="F20" s="185"/>
      <c r="G20" s="186"/>
      <c r="H20" s="189"/>
      <c r="I20" s="191"/>
      <c r="J20" s="130"/>
      <c r="K20" s="178"/>
      <c r="L20" s="132"/>
      <c r="M20" s="22" t="s">
        <v>197</v>
      </c>
      <c r="N20" s="23">
        <v>46035</v>
      </c>
      <c r="O20" s="24" t="str">
        <f>IF(O19&gt;0,"초과","미달")</f>
        <v>미달</v>
      </c>
      <c r="P20" s="67">
        <f>$P19/$J19</f>
        <v>1</v>
      </c>
      <c r="Q20" s="68" t="s">
        <v>15</v>
      </c>
      <c r="R20" s="68" t="s">
        <v>15</v>
      </c>
      <c r="S20" s="181"/>
      <c r="T20" s="181"/>
      <c r="U20" s="25" t="s">
        <v>15</v>
      </c>
      <c r="V20" s="134"/>
      <c r="W20" s="130"/>
      <c r="X20" s="26" t="s">
        <v>15</v>
      </c>
      <c r="Y20" s="25" t="s">
        <v>15</v>
      </c>
      <c r="Z20" s="134"/>
      <c r="AA20" s="130"/>
      <c r="AB20" s="95" t="s">
        <v>15</v>
      </c>
      <c r="AC20" s="90" t="str">
        <f>IFERROR(AC19-AB19,"-")</f>
        <v>-</v>
      </c>
      <c r="AD20" s="184"/>
      <c r="AE20" s="130"/>
      <c r="AF20" s="137"/>
      <c r="AG20" s="153"/>
      <c r="AH20" s="154"/>
      <c r="AI20" s="157"/>
      <c r="AJ20" s="158"/>
    </row>
    <row r="21" spans="2:36" s="46" customFormat="1" ht="23.25" customHeight="1" outlineLevel="1" x14ac:dyDescent="0.3">
      <c r="B21" s="296"/>
      <c r="C21" s="185"/>
      <c r="D21" s="185"/>
      <c r="E21" s="185"/>
      <c r="F21" s="185"/>
      <c r="G21" s="186"/>
      <c r="H21" s="188" t="s">
        <v>24</v>
      </c>
      <c r="I21" s="190" t="s">
        <v>15</v>
      </c>
      <c r="J21" s="185" t="s">
        <v>15</v>
      </c>
      <c r="K21" s="185" t="s">
        <v>15</v>
      </c>
      <c r="L21" s="185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148" t="s">
        <v>15</v>
      </c>
      <c r="T21" s="148" t="s">
        <v>15</v>
      </c>
      <c r="U21" s="31" t="s">
        <v>15</v>
      </c>
      <c r="V21" s="165" t="s">
        <v>15</v>
      </c>
      <c r="W21" s="129" t="s">
        <v>15</v>
      </c>
      <c r="X21" s="27" t="s">
        <v>15</v>
      </c>
      <c r="Y21" s="32" t="s">
        <v>15</v>
      </c>
      <c r="Z21" s="165" t="s">
        <v>15</v>
      </c>
      <c r="AA21" s="129" t="s">
        <v>15</v>
      </c>
      <c r="AB21" s="79" t="s">
        <v>15</v>
      </c>
      <c r="AC21" s="79" t="s">
        <v>15</v>
      </c>
      <c r="AD21" s="170" t="s">
        <v>15</v>
      </c>
      <c r="AE21" s="129" t="s">
        <v>15</v>
      </c>
      <c r="AF21" s="167" t="s">
        <v>15</v>
      </c>
      <c r="AG21" s="197"/>
      <c r="AH21" s="198"/>
      <c r="AI21" s="155"/>
      <c r="AJ21" s="156"/>
    </row>
    <row r="22" spans="2:36" s="46" customFormat="1" ht="23.25" customHeight="1" outlineLevel="1" x14ac:dyDescent="0.3">
      <c r="B22" s="297"/>
      <c r="C22" s="130"/>
      <c r="D22" s="130"/>
      <c r="E22" s="130"/>
      <c r="F22" s="130"/>
      <c r="G22" s="210"/>
      <c r="H22" s="189"/>
      <c r="I22" s="191"/>
      <c r="J22" s="130"/>
      <c r="K22" s="130"/>
      <c r="L22" s="130"/>
      <c r="M22" s="91" t="s">
        <v>15</v>
      </c>
      <c r="N22" s="92" t="s">
        <v>15</v>
      </c>
      <c r="O22" s="93" t="s">
        <v>15</v>
      </c>
      <c r="P22" s="94" t="s">
        <v>15</v>
      </c>
      <c r="Q22" s="75" t="s">
        <v>15</v>
      </c>
      <c r="R22" s="75" t="s">
        <v>15</v>
      </c>
      <c r="S22" s="149"/>
      <c r="T22" s="149"/>
      <c r="U22" s="40" t="s">
        <v>15</v>
      </c>
      <c r="V22" s="134"/>
      <c r="W22" s="130"/>
      <c r="X22" s="41" t="s">
        <v>15</v>
      </c>
      <c r="Y22" s="40" t="s">
        <v>15</v>
      </c>
      <c r="Z22" s="134"/>
      <c r="AA22" s="130"/>
      <c r="AB22" s="41" t="s">
        <v>15</v>
      </c>
      <c r="AC22" s="75" t="s">
        <v>15</v>
      </c>
      <c r="AD22" s="212"/>
      <c r="AE22" s="130"/>
      <c r="AF22" s="228"/>
      <c r="AG22" s="211"/>
      <c r="AH22" s="212"/>
      <c r="AI22" s="157"/>
      <c r="AJ22" s="158"/>
    </row>
    <row r="23" spans="2:36" s="46" customFormat="1" ht="23.25" customHeight="1" outlineLevel="1" x14ac:dyDescent="0.3">
      <c r="B23" s="296">
        <v>5</v>
      </c>
      <c r="C23" s="185" t="s">
        <v>65</v>
      </c>
      <c r="D23" s="185" t="s">
        <v>66</v>
      </c>
      <c r="E23" s="185" t="s">
        <v>145</v>
      </c>
      <c r="F23" s="185" t="s">
        <v>14</v>
      </c>
      <c r="G23" s="186" t="s">
        <v>146</v>
      </c>
      <c r="H23" s="188" t="s">
        <v>23</v>
      </c>
      <c r="I23" s="190">
        <v>0.85</v>
      </c>
      <c r="J23" s="185">
        <v>8</v>
      </c>
      <c r="K23" s="177" t="s">
        <v>143</v>
      </c>
      <c r="L23" s="179">
        <v>0.47099999999999997</v>
      </c>
      <c r="M23" s="58">
        <v>0.45700000000000002</v>
      </c>
      <c r="N23" s="15">
        <f>IF((((($I23-$L23)/($AD23-$Z23))*($N24-$Z23))+$L23)&gt;0.85,$I23,((($I23-$L23)/($AD23-$Z23))*($N24-$Z23))+$L23)</f>
        <v>0.58458753709198807</v>
      </c>
      <c r="O23" s="58">
        <f>M23-N23</f>
        <v>-0.12758753709198806</v>
      </c>
      <c r="P23" s="30">
        <v>8</v>
      </c>
      <c r="Q23" s="59" t="s">
        <v>15</v>
      </c>
      <c r="R23" s="81" t="s">
        <v>15</v>
      </c>
      <c r="S23" s="180" t="s">
        <v>15</v>
      </c>
      <c r="T23" s="180" t="s">
        <v>15</v>
      </c>
      <c r="U23" s="31" t="s">
        <v>15</v>
      </c>
      <c r="V23" s="182" t="s">
        <v>15</v>
      </c>
      <c r="W23" s="185" t="s">
        <v>15</v>
      </c>
      <c r="X23" s="27" t="s">
        <v>15</v>
      </c>
      <c r="Y23" s="32" t="s">
        <v>15</v>
      </c>
      <c r="Z23" s="183">
        <v>45833</v>
      </c>
      <c r="AA23" s="150">
        <v>46911</v>
      </c>
      <c r="AB23" s="74" t="s">
        <v>15</v>
      </c>
      <c r="AC23" s="74" t="s">
        <v>15</v>
      </c>
      <c r="AD23" s="150">
        <v>46507</v>
      </c>
      <c r="AE23" s="150">
        <v>46873</v>
      </c>
      <c r="AF23" s="151">
        <f ca="1">AA23-TODAY()</f>
        <v>876</v>
      </c>
      <c r="AG23" s="192" t="s">
        <v>190</v>
      </c>
      <c r="AH23" s="193"/>
      <c r="AI23" s="205" t="s">
        <v>191</v>
      </c>
      <c r="AJ23" s="206"/>
    </row>
    <row r="24" spans="2:36" s="46" customFormat="1" ht="23.25" customHeight="1" outlineLevel="1" x14ac:dyDescent="0.3">
      <c r="B24" s="296"/>
      <c r="C24" s="185"/>
      <c r="D24" s="185"/>
      <c r="E24" s="185"/>
      <c r="F24" s="185"/>
      <c r="G24" s="186"/>
      <c r="H24" s="189"/>
      <c r="I24" s="191"/>
      <c r="J24" s="130"/>
      <c r="K24" s="178"/>
      <c r="L24" s="132"/>
      <c r="M24" s="22" t="s">
        <v>197</v>
      </c>
      <c r="N24" s="23">
        <v>46035</v>
      </c>
      <c r="O24" s="24" t="str">
        <f>IF(O23&gt;0,"초과","미달")</f>
        <v>미달</v>
      </c>
      <c r="P24" s="67">
        <f>$P23/$J23</f>
        <v>1</v>
      </c>
      <c r="Q24" s="68" t="s">
        <v>15</v>
      </c>
      <c r="R24" s="68" t="s">
        <v>15</v>
      </c>
      <c r="S24" s="181"/>
      <c r="T24" s="181"/>
      <c r="U24" s="25" t="s">
        <v>15</v>
      </c>
      <c r="V24" s="134"/>
      <c r="W24" s="130"/>
      <c r="X24" s="26" t="s">
        <v>15</v>
      </c>
      <c r="Y24" s="25" t="s">
        <v>15</v>
      </c>
      <c r="Z24" s="134"/>
      <c r="AA24" s="130"/>
      <c r="AB24" s="95" t="s">
        <v>15</v>
      </c>
      <c r="AC24" s="90" t="str">
        <f>IFERROR(AC23-AB23,"-")</f>
        <v>-</v>
      </c>
      <c r="AD24" s="184"/>
      <c r="AE24" s="130"/>
      <c r="AF24" s="137"/>
      <c r="AG24" s="153"/>
      <c r="AH24" s="154"/>
      <c r="AI24" s="202"/>
      <c r="AJ24" s="203"/>
    </row>
    <row r="25" spans="2:36" s="46" customFormat="1" ht="23.25" customHeight="1" outlineLevel="1" x14ac:dyDescent="0.3">
      <c r="B25" s="296"/>
      <c r="C25" s="185"/>
      <c r="D25" s="185"/>
      <c r="E25" s="185"/>
      <c r="F25" s="185"/>
      <c r="G25" s="186"/>
      <c r="H25" s="188" t="s">
        <v>24</v>
      </c>
      <c r="I25" s="190" t="s">
        <v>15</v>
      </c>
      <c r="J25" s="185" t="s">
        <v>15</v>
      </c>
      <c r="K25" s="185" t="s">
        <v>15</v>
      </c>
      <c r="L25" s="185" t="s">
        <v>15</v>
      </c>
      <c r="M25" s="27" t="s">
        <v>15</v>
      </c>
      <c r="N25" s="28" t="s">
        <v>15</v>
      </c>
      <c r="O25" s="29" t="s">
        <v>15</v>
      </c>
      <c r="P25" s="30" t="s">
        <v>15</v>
      </c>
      <c r="Q25" s="28" t="s">
        <v>15</v>
      </c>
      <c r="R25" s="28" t="s">
        <v>15</v>
      </c>
      <c r="S25" s="148" t="s">
        <v>15</v>
      </c>
      <c r="T25" s="148" t="s">
        <v>15</v>
      </c>
      <c r="U25" s="31" t="s">
        <v>15</v>
      </c>
      <c r="V25" s="165" t="s">
        <v>15</v>
      </c>
      <c r="W25" s="129" t="s">
        <v>15</v>
      </c>
      <c r="X25" s="27" t="s">
        <v>15</v>
      </c>
      <c r="Y25" s="32" t="s">
        <v>15</v>
      </c>
      <c r="Z25" s="165" t="s">
        <v>15</v>
      </c>
      <c r="AA25" s="129" t="s">
        <v>15</v>
      </c>
      <c r="AB25" s="79" t="s">
        <v>15</v>
      </c>
      <c r="AC25" s="79" t="s">
        <v>15</v>
      </c>
      <c r="AD25" s="170" t="s">
        <v>15</v>
      </c>
      <c r="AE25" s="129" t="s">
        <v>15</v>
      </c>
      <c r="AF25" s="167" t="s">
        <v>15</v>
      </c>
      <c r="AG25" s="197"/>
      <c r="AH25" s="198"/>
      <c r="AI25" s="155"/>
      <c r="AJ25" s="156"/>
    </row>
    <row r="26" spans="2:36" s="46" customFormat="1" ht="23.25" customHeight="1" outlineLevel="1" thickBot="1" x14ac:dyDescent="0.35">
      <c r="B26" s="298"/>
      <c r="C26" s="163"/>
      <c r="D26" s="163"/>
      <c r="E26" s="163"/>
      <c r="F26" s="163"/>
      <c r="G26" s="187"/>
      <c r="H26" s="160"/>
      <c r="I26" s="162"/>
      <c r="J26" s="163"/>
      <c r="K26" s="163"/>
      <c r="L26" s="163"/>
      <c r="M26" s="33" t="s">
        <v>15</v>
      </c>
      <c r="N26" s="69" t="s">
        <v>15</v>
      </c>
      <c r="O26" s="70" t="s">
        <v>15</v>
      </c>
      <c r="P26" s="34" t="s">
        <v>15</v>
      </c>
      <c r="Q26" s="35" t="s">
        <v>15</v>
      </c>
      <c r="R26" s="35" t="s">
        <v>15</v>
      </c>
      <c r="S26" s="164"/>
      <c r="T26" s="164"/>
      <c r="U26" s="36" t="s">
        <v>15</v>
      </c>
      <c r="V26" s="166"/>
      <c r="W26" s="163"/>
      <c r="X26" s="37" t="s">
        <v>15</v>
      </c>
      <c r="Y26" s="36" t="s">
        <v>15</v>
      </c>
      <c r="Z26" s="166"/>
      <c r="AA26" s="163"/>
      <c r="AB26" s="37" t="s">
        <v>15</v>
      </c>
      <c r="AC26" s="35" t="s">
        <v>15</v>
      </c>
      <c r="AD26" s="172"/>
      <c r="AE26" s="163"/>
      <c r="AF26" s="168"/>
      <c r="AG26" s="171"/>
      <c r="AH26" s="172"/>
      <c r="AI26" s="175"/>
      <c r="AJ26" s="176"/>
    </row>
    <row r="27" spans="2:36" s="45" customFormat="1" ht="37.5" customHeight="1" thickBot="1" x14ac:dyDescent="0.35">
      <c r="B27" s="279" t="s">
        <v>94</v>
      </c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1"/>
    </row>
    <row r="28" spans="2:36" s="46" customFormat="1" ht="44.25" customHeight="1" outlineLevel="1" x14ac:dyDescent="0.3">
      <c r="B28" s="296">
        <v>1</v>
      </c>
      <c r="C28" s="185" t="s">
        <v>180</v>
      </c>
      <c r="D28" s="185" t="s">
        <v>181</v>
      </c>
      <c r="E28" s="177" t="s">
        <v>182</v>
      </c>
      <c r="F28" s="129" t="s">
        <v>37</v>
      </c>
      <c r="G28" s="186" t="s">
        <v>183</v>
      </c>
      <c r="H28" s="159" t="s">
        <v>23</v>
      </c>
      <c r="I28" s="161">
        <v>0.85</v>
      </c>
      <c r="J28" s="129">
        <v>19</v>
      </c>
      <c r="K28" s="207" t="s">
        <v>184</v>
      </c>
      <c r="L28" s="161">
        <v>0.76200000000000001</v>
      </c>
      <c r="M28" s="38">
        <v>0.85399999999999998</v>
      </c>
      <c r="N28" s="15">
        <f>IF((((($I28-$L28)/($AD28-$Z28))*($N29-$Z28))+$L28)&gt;0.85,$I28,((($I28-$L28)/($AD28-$Z28))*($N29-$Z28))+$L28)</f>
        <v>0.78996712328767127</v>
      </c>
      <c r="O28" s="15">
        <f>M28-N28</f>
        <v>6.4032876712328712E-2</v>
      </c>
      <c r="P28" s="30">
        <v>14</v>
      </c>
      <c r="Q28" s="39" t="s">
        <v>15</v>
      </c>
      <c r="R28" s="39" t="s">
        <v>15</v>
      </c>
      <c r="S28" s="148" t="s">
        <v>15</v>
      </c>
      <c r="T28" s="148" t="s">
        <v>15</v>
      </c>
      <c r="U28" s="19" t="s">
        <v>15</v>
      </c>
      <c r="V28" s="165" t="s">
        <v>15</v>
      </c>
      <c r="W28" s="129" t="s">
        <v>15</v>
      </c>
      <c r="X28" s="20" t="s">
        <v>15</v>
      </c>
      <c r="Y28" s="21" t="s">
        <v>15</v>
      </c>
      <c r="Z28" s="133">
        <v>45803</v>
      </c>
      <c r="AA28" s="135">
        <v>46898</v>
      </c>
      <c r="AB28" s="74" t="s">
        <v>110</v>
      </c>
      <c r="AC28" s="74" t="s">
        <v>110</v>
      </c>
      <c r="AD28" s="135">
        <v>46533</v>
      </c>
      <c r="AE28" s="135">
        <v>46898</v>
      </c>
      <c r="AF28" s="136">
        <f ca="1">AA28-TODAY()</f>
        <v>863</v>
      </c>
      <c r="AG28" s="138" t="s">
        <v>213</v>
      </c>
      <c r="AH28" s="152"/>
      <c r="AI28" s="200" t="s">
        <v>231</v>
      </c>
      <c r="AJ28" s="201"/>
    </row>
    <row r="29" spans="2:36" s="46" customFormat="1" ht="23.25" outlineLevel="1" x14ac:dyDescent="0.3">
      <c r="B29" s="296"/>
      <c r="C29" s="185"/>
      <c r="D29" s="185"/>
      <c r="E29" s="185"/>
      <c r="F29" s="185"/>
      <c r="G29" s="186"/>
      <c r="H29" s="189"/>
      <c r="I29" s="191"/>
      <c r="J29" s="130"/>
      <c r="K29" s="130"/>
      <c r="L29" s="191"/>
      <c r="M29" s="22" t="s">
        <v>139</v>
      </c>
      <c r="N29" s="23">
        <v>46035</v>
      </c>
      <c r="O29" s="24" t="str">
        <f>IF(O28&gt;0,"초과","미달")</f>
        <v>초과</v>
      </c>
      <c r="P29" s="67">
        <f>$P28/$J28</f>
        <v>0.73684210526315785</v>
      </c>
      <c r="Q29" s="73" t="s">
        <v>15</v>
      </c>
      <c r="R29" s="73" t="s">
        <v>15</v>
      </c>
      <c r="S29" s="149"/>
      <c r="T29" s="149"/>
      <c r="U29" s="40" t="s">
        <v>15</v>
      </c>
      <c r="V29" s="134"/>
      <c r="W29" s="130"/>
      <c r="X29" s="41" t="s">
        <v>15</v>
      </c>
      <c r="Y29" s="40" t="s">
        <v>15</v>
      </c>
      <c r="Z29" s="134"/>
      <c r="AA29" s="130"/>
      <c r="AB29" s="26" t="s">
        <v>15</v>
      </c>
      <c r="AC29" s="90" t="str">
        <f>IFERROR(AC28-AB28,"-")</f>
        <v>-</v>
      </c>
      <c r="AD29" s="223"/>
      <c r="AE29" s="130"/>
      <c r="AF29" s="137"/>
      <c r="AG29" s="153"/>
      <c r="AH29" s="154"/>
      <c r="AI29" s="202"/>
      <c r="AJ29" s="203"/>
    </row>
    <row r="30" spans="2:36" s="46" customFormat="1" ht="35.1" customHeight="1" outlineLevel="1" x14ac:dyDescent="0.3">
      <c r="B30" s="296"/>
      <c r="C30" s="185"/>
      <c r="D30" s="185"/>
      <c r="E30" s="185"/>
      <c r="F30" s="185"/>
      <c r="G30" s="186"/>
      <c r="H30" s="159" t="s">
        <v>24</v>
      </c>
      <c r="I30" s="161">
        <v>0.75</v>
      </c>
      <c r="J30" s="129">
        <v>25</v>
      </c>
      <c r="K30" s="207" t="s">
        <v>185</v>
      </c>
      <c r="L30" s="131">
        <v>0.61</v>
      </c>
      <c r="M30" s="15" t="s">
        <v>15</v>
      </c>
      <c r="N30" s="15">
        <f>IF((((($I30-$L30)/($AD30-$Z30))*($N31-$Z30))+$L30)&gt;0.85,$I30,((($I30-$L30)/($AD30-$Z30))*($N31-$Z30))+$L30)</f>
        <v>0.65449315068493152</v>
      </c>
      <c r="O30" s="15" t="str">
        <f>IFERROR(M30-N30," ")</f>
        <v xml:space="preserve"> </v>
      </c>
      <c r="P30" s="16" t="s">
        <v>15</v>
      </c>
      <c r="Q30" s="17" t="s">
        <v>15</v>
      </c>
      <c r="R30" s="18" t="s">
        <v>15</v>
      </c>
      <c r="S30" s="208" t="s">
        <v>15</v>
      </c>
      <c r="T30" s="208" t="s">
        <v>15</v>
      </c>
      <c r="U30" s="19" t="s">
        <v>15</v>
      </c>
      <c r="V30" s="199">
        <v>110</v>
      </c>
      <c r="W30" s="89">
        <v>86</v>
      </c>
      <c r="X30" s="86">
        <f>($V30/($AA30-$Z30))*($N31-$Z30)</f>
        <v>23.30593607305936</v>
      </c>
      <c r="Y30" s="87">
        <f>IF((W30-X30)&lt;0,(X30-W30),(W30-X30))</f>
        <v>62.694063926940643</v>
      </c>
      <c r="Z30" s="133">
        <v>45803</v>
      </c>
      <c r="AA30" s="135">
        <v>46898</v>
      </c>
      <c r="AB30" s="74" t="s">
        <v>110</v>
      </c>
      <c r="AC30" s="74" t="s">
        <v>110</v>
      </c>
      <c r="AD30" s="135">
        <v>46533</v>
      </c>
      <c r="AE30" s="135">
        <v>46898</v>
      </c>
      <c r="AF30" s="136">
        <f ca="1">AA30-TODAY()</f>
        <v>863</v>
      </c>
      <c r="AG30" s="138" t="s">
        <v>186</v>
      </c>
      <c r="AH30" s="152"/>
      <c r="AI30" s="173"/>
      <c r="AJ30" s="174"/>
    </row>
    <row r="31" spans="2:36" s="46" customFormat="1" ht="24.95" customHeight="1" outlineLevel="1" x14ac:dyDescent="0.3">
      <c r="B31" s="297"/>
      <c r="C31" s="130"/>
      <c r="D31" s="130"/>
      <c r="E31" s="130"/>
      <c r="F31" s="130"/>
      <c r="G31" s="210"/>
      <c r="H31" s="189"/>
      <c r="I31" s="191"/>
      <c r="J31" s="130"/>
      <c r="K31" s="178"/>
      <c r="L31" s="132"/>
      <c r="M31" s="22" t="s">
        <v>33</v>
      </c>
      <c r="N31" s="23">
        <v>46035</v>
      </c>
      <c r="O31" s="24" t="s">
        <v>15</v>
      </c>
      <c r="P31" s="71" t="s">
        <v>15</v>
      </c>
      <c r="Q31" s="72" t="s">
        <v>15</v>
      </c>
      <c r="R31" s="72" t="s">
        <v>15</v>
      </c>
      <c r="S31" s="181"/>
      <c r="T31" s="181"/>
      <c r="U31" s="25" t="s">
        <v>15</v>
      </c>
      <c r="V31" s="147"/>
      <c r="W31" s="84">
        <f>$W30/$V30</f>
        <v>0.78181818181818186</v>
      </c>
      <c r="X31" s="84">
        <f>X30/V30</f>
        <v>0.21187214611872146</v>
      </c>
      <c r="Y31" s="25" t="str">
        <f>IF((W30-X30)&lt;0,"미달","초과")</f>
        <v>초과</v>
      </c>
      <c r="Z31" s="134"/>
      <c r="AA31" s="130"/>
      <c r="AB31" s="26" t="s">
        <v>15</v>
      </c>
      <c r="AC31" s="90" t="str">
        <f>IFERROR(AC30-AB30,"-")</f>
        <v>-</v>
      </c>
      <c r="AD31" s="223"/>
      <c r="AE31" s="130"/>
      <c r="AF31" s="137"/>
      <c r="AG31" s="153"/>
      <c r="AH31" s="154"/>
      <c r="AI31" s="157"/>
      <c r="AJ31" s="158"/>
    </row>
    <row r="32" spans="2:36" s="46" customFormat="1" ht="41.25" customHeight="1" outlineLevel="1" x14ac:dyDescent="0.3">
      <c r="B32" s="296">
        <v>2</v>
      </c>
      <c r="C32" s="185" t="s">
        <v>54</v>
      </c>
      <c r="D32" s="185" t="s">
        <v>55</v>
      </c>
      <c r="E32" s="185" t="s">
        <v>56</v>
      </c>
      <c r="F32" s="185" t="s">
        <v>37</v>
      </c>
      <c r="G32" s="186" t="s">
        <v>57</v>
      </c>
      <c r="H32" s="188" t="s">
        <v>38</v>
      </c>
      <c r="I32" s="190">
        <v>0.85</v>
      </c>
      <c r="J32" s="185">
        <v>28</v>
      </c>
      <c r="K32" s="207" t="s">
        <v>131</v>
      </c>
      <c r="L32" s="179">
        <v>0.85</v>
      </c>
      <c r="M32" s="58">
        <v>0.872</v>
      </c>
      <c r="N32" s="15">
        <f>IF((((($I32-$L32)/($AD32-$Z32))*($N33-$Z32))+$L32)&gt;0.85,$I32,((($I32-$L32)/($AD32-$Z32))*($N33-$Z32))+$L32)</f>
        <v>0.85</v>
      </c>
      <c r="O32" s="15">
        <f>M32-N32</f>
        <v>2.200000000000002E-2</v>
      </c>
      <c r="P32" s="30">
        <v>28</v>
      </c>
      <c r="Q32" s="59">
        <v>0</v>
      </c>
      <c r="R32" s="59">
        <v>0</v>
      </c>
      <c r="S32" s="180" t="s">
        <v>15</v>
      </c>
      <c r="T32" s="180" t="s">
        <v>15</v>
      </c>
      <c r="U32" s="31" t="s">
        <v>15</v>
      </c>
      <c r="V32" s="199">
        <v>90</v>
      </c>
      <c r="W32" s="89">
        <v>85</v>
      </c>
      <c r="X32" s="86">
        <f>($V32/($AA32-$Z32))*($N33-$Z32)</f>
        <v>20.854625550660796</v>
      </c>
      <c r="Y32" s="87">
        <f>IF((W32-X32)&lt;0,(X32-W32),(W32-X32))</f>
        <v>64.145374449339201</v>
      </c>
      <c r="Z32" s="183">
        <v>45772</v>
      </c>
      <c r="AA32" s="150">
        <v>46907</v>
      </c>
      <c r="AB32" s="74" t="s">
        <v>110</v>
      </c>
      <c r="AC32" s="74" t="s">
        <v>110</v>
      </c>
      <c r="AD32" s="150">
        <v>46542</v>
      </c>
      <c r="AE32" s="150">
        <v>46907</v>
      </c>
      <c r="AF32" s="151">
        <f ca="1">AA32-TODAY()</f>
        <v>872</v>
      </c>
      <c r="AG32" s="192" t="s">
        <v>208</v>
      </c>
      <c r="AH32" s="193"/>
      <c r="AI32" s="220" t="s">
        <v>200</v>
      </c>
      <c r="AJ32" s="206"/>
    </row>
    <row r="33" spans="2:36" s="46" customFormat="1" ht="24.95" customHeight="1" outlineLevel="1" x14ac:dyDescent="0.3">
      <c r="B33" s="297"/>
      <c r="C33" s="130"/>
      <c r="D33" s="130"/>
      <c r="E33" s="130"/>
      <c r="F33" s="130"/>
      <c r="G33" s="210"/>
      <c r="H33" s="189"/>
      <c r="I33" s="191"/>
      <c r="J33" s="130"/>
      <c r="K33" s="178"/>
      <c r="L33" s="132"/>
      <c r="M33" s="22" t="s">
        <v>33</v>
      </c>
      <c r="N33" s="23">
        <v>46035</v>
      </c>
      <c r="O33" s="24" t="str">
        <f>IF(O32&gt;0,"초과","미달")</f>
        <v>초과</v>
      </c>
      <c r="P33" s="67">
        <f>$P32/$J32</f>
        <v>1</v>
      </c>
      <c r="Q33" s="68" t="str">
        <f>IF($Q32/$J32=0,"-",$Q32/$J32)</f>
        <v>-</v>
      </c>
      <c r="R33" s="68" t="str">
        <f>IF($Q32/$J32=0,"-",$Q32/$J32)</f>
        <v>-</v>
      </c>
      <c r="S33" s="181"/>
      <c r="T33" s="181"/>
      <c r="U33" s="25" t="s">
        <v>15</v>
      </c>
      <c r="V33" s="147"/>
      <c r="W33" s="84">
        <f>$W32/$V32</f>
        <v>0.94444444444444442</v>
      </c>
      <c r="X33" s="84">
        <f>X32/V32</f>
        <v>0.23171806167400885</v>
      </c>
      <c r="Y33" s="25" t="str">
        <f>IF((W32-X32)&lt;0,"미달","초과")</f>
        <v>초과</v>
      </c>
      <c r="Z33" s="134"/>
      <c r="AA33" s="130"/>
      <c r="AB33" s="26" t="s">
        <v>15</v>
      </c>
      <c r="AC33" s="90" t="str">
        <f>IFERROR(AC32-AB32,"-")</f>
        <v>-</v>
      </c>
      <c r="AD33" s="223"/>
      <c r="AE33" s="130"/>
      <c r="AF33" s="137"/>
      <c r="AG33" s="153"/>
      <c r="AH33" s="154"/>
      <c r="AI33" s="202"/>
      <c r="AJ33" s="203"/>
    </row>
    <row r="34" spans="2:36" s="46" customFormat="1" ht="49.5" customHeight="1" outlineLevel="1" x14ac:dyDescent="0.3">
      <c r="B34" s="299">
        <v>3</v>
      </c>
      <c r="C34" s="129" t="s">
        <v>11</v>
      </c>
      <c r="D34" s="129" t="s">
        <v>73</v>
      </c>
      <c r="E34" s="129" t="s">
        <v>56</v>
      </c>
      <c r="F34" s="129" t="s">
        <v>37</v>
      </c>
      <c r="G34" s="209" t="s">
        <v>121</v>
      </c>
      <c r="H34" s="159" t="s">
        <v>23</v>
      </c>
      <c r="I34" s="161">
        <v>0.85</v>
      </c>
      <c r="J34" s="129">
        <v>12</v>
      </c>
      <c r="K34" s="207" t="s">
        <v>122</v>
      </c>
      <c r="L34" s="131">
        <v>0.68</v>
      </c>
      <c r="M34" s="15">
        <v>0.754</v>
      </c>
      <c r="N34" s="15">
        <f>IF((((($I34-$L34)/($AD34-$Z34))*($N35-$Z34))+$L34)&gt;0.85,$I34,((($I34-$L34)/($AD34-$Z34))*($N35-$Z34))+$L34)</f>
        <v>0.75770710059171598</v>
      </c>
      <c r="O34" s="15">
        <f>M34-N34</f>
        <v>-3.7071005917159727E-3</v>
      </c>
      <c r="P34" s="16">
        <v>12</v>
      </c>
      <c r="Q34" s="17" t="s">
        <v>15</v>
      </c>
      <c r="R34" s="18" t="s">
        <v>15</v>
      </c>
      <c r="S34" s="208" t="s">
        <v>15</v>
      </c>
      <c r="T34" s="208" t="s">
        <v>15</v>
      </c>
      <c r="U34" s="19" t="s">
        <v>15</v>
      </c>
      <c r="V34" s="165" t="s">
        <v>15</v>
      </c>
      <c r="W34" s="129" t="s">
        <v>15</v>
      </c>
      <c r="X34" s="20" t="s">
        <v>15</v>
      </c>
      <c r="Y34" s="21" t="s">
        <v>15</v>
      </c>
      <c r="Z34" s="133">
        <v>45726</v>
      </c>
      <c r="AA34" s="135">
        <v>46805</v>
      </c>
      <c r="AB34" s="74" t="s">
        <v>110</v>
      </c>
      <c r="AC34" s="74" t="s">
        <v>110</v>
      </c>
      <c r="AD34" s="135">
        <v>46402</v>
      </c>
      <c r="AE34" s="135">
        <v>46736</v>
      </c>
      <c r="AF34" s="136">
        <f ca="1">AA34-TODAY()</f>
        <v>770</v>
      </c>
      <c r="AG34" s="138" t="s">
        <v>247</v>
      </c>
      <c r="AH34" s="152"/>
      <c r="AI34" s="200" t="s">
        <v>212</v>
      </c>
      <c r="AJ34" s="201"/>
    </row>
    <row r="35" spans="2:36" s="46" customFormat="1" ht="39.950000000000003" customHeight="1" outlineLevel="1" x14ac:dyDescent="0.3">
      <c r="B35" s="300"/>
      <c r="C35" s="185"/>
      <c r="D35" s="185"/>
      <c r="E35" s="185"/>
      <c r="F35" s="185"/>
      <c r="G35" s="186"/>
      <c r="H35" s="189"/>
      <c r="I35" s="191"/>
      <c r="J35" s="130"/>
      <c r="K35" s="178"/>
      <c r="L35" s="132"/>
      <c r="M35" s="22" t="s">
        <v>197</v>
      </c>
      <c r="N35" s="23">
        <v>46035</v>
      </c>
      <c r="O35" s="24" t="str">
        <f>IF(O34&gt;0,"초과","미달")</f>
        <v>미달</v>
      </c>
      <c r="P35" s="67">
        <f>$P34/$J34</f>
        <v>1</v>
      </c>
      <c r="Q35" s="68" t="s">
        <v>15</v>
      </c>
      <c r="R35" s="68" t="s">
        <v>15</v>
      </c>
      <c r="S35" s="181"/>
      <c r="T35" s="181"/>
      <c r="U35" s="25" t="s">
        <v>15</v>
      </c>
      <c r="V35" s="134"/>
      <c r="W35" s="130"/>
      <c r="X35" s="26" t="s">
        <v>15</v>
      </c>
      <c r="Y35" s="25" t="s">
        <v>15</v>
      </c>
      <c r="Z35" s="134"/>
      <c r="AA35" s="130"/>
      <c r="AB35" s="26" t="s">
        <v>15</v>
      </c>
      <c r="AC35" s="90" t="str">
        <f>IFERROR(AC34-AB34,"-")</f>
        <v>-</v>
      </c>
      <c r="AD35" s="184"/>
      <c r="AE35" s="130"/>
      <c r="AF35" s="137"/>
      <c r="AG35" s="153"/>
      <c r="AH35" s="154"/>
      <c r="AI35" s="202"/>
      <c r="AJ35" s="203"/>
    </row>
    <row r="36" spans="2:36" s="46" customFormat="1" ht="24.95" customHeight="1" outlineLevel="1" x14ac:dyDescent="0.3">
      <c r="B36" s="300"/>
      <c r="C36" s="185"/>
      <c r="D36" s="185"/>
      <c r="E36" s="185"/>
      <c r="F36" s="185"/>
      <c r="G36" s="186"/>
      <c r="H36" s="188" t="s">
        <v>24</v>
      </c>
      <c r="I36" s="190" t="s">
        <v>15</v>
      </c>
      <c r="J36" s="185" t="s">
        <v>15</v>
      </c>
      <c r="K36" s="185" t="s">
        <v>15</v>
      </c>
      <c r="L36" s="185" t="s">
        <v>15</v>
      </c>
      <c r="M36" s="27" t="s">
        <v>15</v>
      </c>
      <c r="N36" s="15" t="s">
        <v>110</v>
      </c>
      <c r="O36" s="29" t="s">
        <v>15</v>
      </c>
      <c r="P36" s="30" t="s">
        <v>15</v>
      </c>
      <c r="Q36" s="28" t="s">
        <v>15</v>
      </c>
      <c r="R36" s="28" t="s">
        <v>15</v>
      </c>
      <c r="S36" s="148" t="s">
        <v>15</v>
      </c>
      <c r="T36" s="148" t="s">
        <v>15</v>
      </c>
      <c r="U36" s="31" t="s">
        <v>15</v>
      </c>
      <c r="V36" s="165" t="s">
        <v>15</v>
      </c>
      <c r="W36" s="129" t="s">
        <v>15</v>
      </c>
      <c r="X36" s="27" t="s">
        <v>15</v>
      </c>
      <c r="Y36" s="32" t="s">
        <v>15</v>
      </c>
      <c r="Z36" s="165" t="s">
        <v>15</v>
      </c>
      <c r="AA36" s="129" t="s">
        <v>15</v>
      </c>
      <c r="AB36" s="79" t="s">
        <v>15</v>
      </c>
      <c r="AC36" s="79" t="s">
        <v>15</v>
      </c>
      <c r="AD36" s="170" t="s">
        <v>15</v>
      </c>
      <c r="AE36" s="129" t="s">
        <v>15</v>
      </c>
      <c r="AF36" s="167" t="s">
        <v>15</v>
      </c>
      <c r="AG36" s="197"/>
      <c r="AH36" s="198"/>
      <c r="AI36" s="155"/>
      <c r="AJ36" s="156"/>
    </row>
    <row r="37" spans="2:36" s="46" customFormat="1" ht="24.95" customHeight="1" outlineLevel="1" x14ac:dyDescent="0.3">
      <c r="B37" s="301"/>
      <c r="C37" s="130"/>
      <c r="D37" s="130"/>
      <c r="E37" s="130"/>
      <c r="F37" s="130"/>
      <c r="G37" s="210"/>
      <c r="H37" s="189"/>
      <c r="I37" s="191"/>
      <c r="J37" s="130"/>
      <c r="K37" s="130"/>
      <c r="L37" s="130"/>
      <c r="M37" s="91" t="s">
        <v>15</v>
      </c>
      <c r="N37" s="92" t="s">
        <v>15</v>
      </c>
      <c r="O37" s="93" t="s">
        <v>15</v>
      </c>
      <c r="P37" s="94" t="s">
        <v>15</v>
      </c>
      <c r="Q37" s="75" t="s">
        <v>15</v>
      </c>
      <c r="R37" s="75" t="s">
        <v>15</v>
      </c>
      <c r="S37" s="149"/>
      <c r="T37" s="149"/>
      <c r="U37" s="40" t="s">
        <v>15</v>
      </c>
      <c r="V37" s="134"/>
      <c r="W37" s="130"/>
      <c r="X37" s="41" t="s">
        <v>15</v>
      </c>
      <c r="Y37" s="40" t="s">
        <v>15</v>
      </c>
      <c r="Z37" s="134"/>
      <c r="AA37" s="130"/>
      <c r="AB37" s="41" t="s">
        <v>15</v>
      </c>
      <c r="AC37" s="75" t="s">
        <v>15</v>
      </c>
      <c r="AD37" s="212"/>
      <c r="AE37" s="130"/>
      <c r="AF37" s="228"/>
      <c r="AG37" s="211"/>
      <c r="AH37" s="212"/>
      <c r="AI37" s="157"/>
      <c r="AJ37" s="158"/>
    </row>
    <row r="38" spans="2:36" s="46" customFormat="1" ht="39.950000000000003" customHeight="1" outlineLevel="1" x14ac:dyDescent="0.3">
      <c r="B38" s="295">
        <v>4</v>
      </c>
      <c r="C38" s="129" t="s">
        <v>68</v>
      </c>
      <c r="D38" s="129" t="s">
        <v>69</v>
      </c>
      <c r="E38" s="207" t="s">
        <v>123</v>
      </c>
      <c r="F38" s="129" t="s">
        <v>37</v>
      </c>
      <c r="G38" s="209" t="s">
        <v>114</v>
      </c>
      <c r="H38" s="159" t="s">
        <v>23</v>
      </c>
      <c r="I38" s="161">
        <v>0.85</v>
      </c>
      <c r="J38" s="129">
        <v>11</v>
      </c>
      <c r="K38" s="207" t="s">
        <v>166</v>
      </c>
      <c r="L38" s="131">
        <v>0.8</v>
      </c>
      <c r="M38" s="15">
        <v>0.8</v>
      </c>
      <c r="N38" s="15">
        <f>IF((((($I38-$L38)/($AD38-$Z38))*($N39-$Z38))+$L38)&gt;0.85,$I38,((($I38-$L38)/($AD38-$Z38))*($N39-$Z38))+$L38)</f>
        <v>0.85</v>
      </c>
      <c r="O38" s="15">
        <f>M38-N38</f>
        <v>-4.9999999999999933E-2</v>
      </c>
      <c r="P38" s="16">
        <v>11</v>
      </c>
      <c r="Q38" s="17">
        <v>0</v>
      </c>
      <c r="R38" s="17">
        <v>0</v>
      </c>
      <c r="S38" s="208" t="s">
        <v>15</v>
      </c>
      <c r="T38" s="208" t="s">
        <v>15</v>
      </c>
      <c r="U38" s="19" t="s">
        <v>15</v>
      </c>
      <c r="V38" s="146">
        <v>17</v>
      </c>
      <c r="W38" s="96">
        <v>29</v>
      </c>
      <c r="X38" s="97">
        <f>($V38/($AA38-$Z38))*($N39-$Z38)</f>
        <v>6.3651529193697867</v>
      </c>
      <c r="Y38" s="98">
        <f>IF((W38-X38)&lt;0,(X38-W38),(W38-X38))</f>
        <v>22.634847080630212</v>
      </c>
      <c r="Z38" s="133">
        <v>45631</v>
      </c>
      <c r="AA38" s="135">
        <v>46710</v>
      </c>
      <c r="AB38" s="74" t="s">
        <v>15</v>
      </c>
      <c r="AC38" s="74" t="s">
        <v>15</v>
      </c>
      <c r="AD38" s="135">
        <v>45992</v>
      </c>
      <c r="AE38" s="135">
        <v>46710</v>
      </c>
      <c r="AF38" s="136">
        <f ca="1">AA38-TODAY()</f>
        <v>675</v>
      </c>
      <c r="AG38" s="138" t="s">
        <v>189</v>
      </c>
      <c r="AH38" s="152"/>
      <c r="AI38" s="229" t="s">
        <v>211</v>
      </c>
      <c r="AJ38" s="201"/>
    </row>
    <row r="39" spans="2:36" s="46" customFormat="1" ht="39.950000000000003" customHeight="1" outlineLevel="1" x14ac:dyDescent="0.3">
      <c r="B39" s="296"/>
      <c r="C39" s="185"/>
      <c r="D39" s="185"/>
      <c r="E39" s="185"/>
      <c r="F39" s="185"/>
      <c r="G39" s="186"/>
      <c r="H39" s="189"/>
      <c r="I39" s="191"/>
      <c r="J39" s="130"/>
      <c r="K39" s="178"/>
      <c r="L39" s="132"/>
      <c r="M39" s="22" t="s">
        <v>139</v>
      </c>
      <c r="N39" s="23">
        <v>46035</v>
      </c>
      <c r="O39" s="24" t="str">
        <f>IF(O38&gt;0,"초과","미달")</f>
        <v>미달</v>
      </c>
      <c r="P39" s="67">
        <f>$P38/$J38</f>
        <v>1</v>
      </c>
      <c r="Q39" s="68" t="str">
        <f>IF($Q38/$J38=0,"-",$Q38/$J38)</f>
        <v>-</v>
      </c>
      <c r="R39" s="68" t="str">
        <f>IF($Q38/$J38=0,"-",$Q38/$J38)</f>
        <v>-</v>
      </c>
      <c r="S39" s="181"/>
      <c r="T39" s="181"/>
      <c r="U39" s="25" t="s">
        <v>15</v>
      </c>
      <c r="V39" s="147"/>
      <c r="W39" s="84">
        <f>$W38/$V38</f>
        <v>1.7058823529411764</v>
      </c>
      <c r="X39" s="84">
        <f>X38/V38</f>
        <v>0.37442075996292862</v>
      </c>
      <c r="Y39" s="25" t="str">
        <f>IF((W38-X38)&lt;0,"미달","초과")</f>
        <v>초과</v>
      </c>
      <c r="Z39" s="134"/>
      <c r="AA39" s="130"/>
      <c r="AB39" s="41" t="s">
        <v>15</v>
      </c>
      <c r="AC39" s="90" t="str">
        <f>IFERROR(AC38-AB38,"-")</f>
        <v>-</v>
      </c>
      <c r="AD39" s="184"/>
      <c r="AE39" s="130"/>
      <c r="AF39" s="137"/>
      <c r="AG39" s="153"/>
      <c r="AH39" s="154"/>
      <c r="AI39" s="202"/>
      <c r="AJ39" s="203"/>
    </row>
    <row r="40" spans="2:36" s="46" customFormat="1" ht="32.1" customHeight="1" outlineLevel="1" x14ac:dyDescent="0.3">
      <c r="B40" s="296"/>
      <c r="C40" s="185"/>
      <c r="D40" s="185"/>
      <c r="E40" s="185"/>
      <c r="F40" s="185"/>
      <c r="G40" s="186"/>
      <c r="H40" s="188" t="s">
        <v>24</v>
      </c>
      <c r="I40" s="190" t="s">
        <v>15</v>
      </c>
      <c r="J40" s="185" t="s">
        <v>15</v>
      </c>
      <c r="K40" s="185" t="s">
        <v>15</v>
      </c>
      <c r="L40" s="185" t="s">
        <v>15</v>
      </c>
      <c r="M40" s="27" t="s">
        <v>15</v>
      </c>
      <c r="N40" s="28" t="s">
        <v>15</v>
      </c>
      <c r="O40" s="29" t="s">
        <v>15</v>
      </c>
      <c r="P40" s="30" t="s">
        <v>15</v>
      </c>
      <c r="Q40" s="28" t="s">
        <v>15</v>
      </c>
      <c r="R40" s="28" t="s">
        <v>15</v>
      </c>
      <c r="S40" s="148" t="s">
        <v>15</v>
      </c>
      <c r="T40" s="148" t="s">
        <v>15</v>
      </c>
      <c r="U40" s="31" t="s">
        <v>15</v>
      </c>
      <c r="V40" s="165" t="s">
        <v>15</v>
      </c>
      <c r="W40" s="129" t="s">
        <v>15</v>
      </c>
      <c r="X40" s="27" t="s">
        <v>15</v>
      </c>
      <c r="Y40" s="32" t="s">
        <v>15</v>
      </c>
      <c r="Z40" s="165" t="s">
        <v>15</v>
      </c>
      <c r="AA40" s="129" t="s">
        <v>15</v>
      </c>
      <c r="AB40" s="79" t="s">
        <v>15</v>
      </c>
      <c r="AC40" s="79" t="s">
        <v>15</v>
      </c>
      <c r="AD40" s="170" t="s">
        <v>15</v>
      </c>
      <c r="AE40" s="129" t="s">
        <v>15</v>
      </c>
      <c r="AF40" s="167" t="s">
        <v>15</v>
      </c>
      <c r="AG40" s="197"/>
      <c r="AH40" s="198"/>
      <c r="AI40" s="155"/>
      <c r="AJ40" s="156"/>
    </row>
    <row r="41" spans="2:36" s="46" customFormat="1" ht="32.1" customHeight="1" outlineLevel="1" x14ac:dyDescent="0.3">
      <c r="B41" s="297"/>
      <c r="C41" s="130"/>
      <c r="D41" s="130"/>
      <c r="E41" s="130"/>
      <c r="F41" s="130"/>
      <c r="G41" s="210"/>
      <c r="H41" s="189"/>
      <c r="I41" s="191"/>
      <c r="J41" s="130"/>
      <c r="K41" s="130"/>
      <c r="L41" s="130"/>
      <c r="M41" s="91" t="s">
        <v>15</v>
      </c>
      <c r="N41" s="92" t="s">
        <v>15</v>
      </c>
      <c r="O41" s="93" t="s">
        <v>15</v>
      </c>
      <c r="P41" s="94" t="s">
        <v>15</v>
      </c>
      <c r="Q41" s="75" t="s">
        <v>15</v>
      </c>
      <c r="R41" s="75" t="s">
        <v>15</v>
      </c>
      <c r="S41" s="149"/>
      <c r="T41" s="149"/>
      <c r="U41" s="40" t="s">
        <v>15</v>
      </c>
      <c r="V41" s="134"/>
      <c r="W41" s="130"/>
      <c r="X41" s="41" t="s">
        <v>15</v>
      </c>
      <c r="Y41" s="40" t="s">
        <v>15</v>
      </c>
      <c r="Z41" s="134"/>
      <c r="AA41" s="130"/>
      <c r="AB41" s="41" t="s">
        <v>15</v>
      </c>
      <c r="AC41" s="75" t="s">
        <v>15</v>
      </c>
      <c r="AD41" s="212"/>
      <c r="AE41" s="130"/>
      <c r="AF41" s="228"/>
      <c r="AG41" s="211"/>
      <c r="AH41" s="212"/>
      <c r="AI41" s="157"/>
      <c r="AJ41" s="158"/>
    </row>
    <row r="42" spans="2:36" s="46" customFormat="1" ht="32.1" customHeight="1" outlineLevel="1" x14ac:dyDescent="0.3">
      <c r="B42" s="296">
        <v>5</v>
      </c>
      <c r="C42" s="185" t="s">
        <v>62</v>
      </c>
      <c r="D42" s="185" t="s">
        <v>158</v>
      </c>
      <c r="E42" s="185" t="s">
        <v>159</v>
      </c>
      <c r="F42" s="185" t="s">
        <v>37</v>
      </c>
      <c r="G42" s="186" t="s">
        <v>160</v>
      </c>
      <c r="H42" s="188" t="s">
        <v>24</v>
      </c>
      <c r="I42" s="190">
        <v>0.85</v>
      </c>
      <c r="J42" s="185">
        <v>8</v>
      </c>
      <c r="K42" s="177" t="s">
        <v>161</v>
      </c>
      <c r="L42" s="179">
        <v>0.79600000000000004</v>
      </c>
      <c r="M42" s="58">
        <v>0.84299999999999997</v>
      </c>
      <c r="N42" s="58">
        <f>IF((((($I42-$L42)/($AD42-$Z42))*($N43-$Z42))+$L42)&gt;0.85,$I42,((($I42-$L42)/($AD42-$Z42))*($N43-$Z42))+$L42)</f>
        <v>0.85</v>
      </c>
      <c r="O42" s="58">
        <f>M42-N42</f>
        <v>-7.0000000000000062E-3</v>
      </c>
      <c r="P42" s="30">
        <v>8</v>
      </c>
      <c r="Q42" s="59">
        <v>1</v>
      </c>
      <c r="R42" s="59">
        <v>2</v>
      </c>
      <c r="S42" s="180" t="s">
        <v>15</v>
      </c>
      <c r="T42" s="180" t="s">
        <v>15</v>
      </c>
      <c r="U42" s="31">
        <v>88</v>
      </c>
      <c r="V42" s="199">
        <v>282</v>
      </c>
      <c r="W42" s="89">
        <v>51</v>
      </c>
      <c r="X42" s="86">
        <f>($V42/($AA42-$Z42))*($N43-$Z42)</f>
        <v>69.59780621572213</v>
      </c>
      <c r="Y42" s="87">
        <f>IF((W42-X42)&lt;0,(X42-W42),(W42-X42))</f>
        <v>18.59780621572213</v>
      </c>
      <c r="Z42" s="183">
        <v>45765</v>
      </c>
      <c r="AA42" s="150">
        <v>46859</v>
      </c>
      <c r="AB42" s="82" t="s">
        <v>15</v>
      </c>
      <c r="AC42" s="82" t="s">
        <v>15</v>
      </c>
      <c r="AD42" s="150">
        <v>45766</v>
      </c>
      <c r="AE42" s="150">
        <v>46828</v>
      </c>
      <c r="AF42" s="151">
        <f ca="1">AA42-TODAY()</f>
        <v>824</v>
      </c>
      <c r="AG42" s="192"/>
      <c r="AH42" s="193"/>
      <c r="AI42" s="220"/>
      <c r="AJ42" s="206"/>
    </row>
    <row r="43" spans="2:36" s="46" customFormat="1" ht="32.1" customHeight="1" outlineLevel="1" x14ac:dyDescent="0.3">
      <c r="B43" s="297"/>
      <c r="C43" s="130"/>
      <c r="D43" s="130"/>
      <c r="E43" s="130"/>
      <c r="F43" s="130"/>
      <c r="G43" s="210"/>
      <c r="H43" s="189"/>
      <c r="I43" s="191"/>
      <c r="J43" s="130"/>
      <c r="K43" s="178"/>
      <c r="L43" s="132"/>
      <c r="M43" s="22" t="s">
        <v>139</v>
      </c>
      <c r="N43" s="23">
        <v>46035</v>
      </c>
      <c r="O43" s="24" t="str">
        <f>IF(O42&gt;0,"초과","미달")</f>
        <v>미달</v>
      </c>
      <c r="P43" s="67">
        <f>$P42/$J42</f>
        <v>1</v>
      </c>
      <c r="Q43" s="68">
        <f>IF($Q42/$J42=0,"-",$Q42/$J42)</f>
        <v>0.125</v>
      </c>
      <c r="R43" s="68">
        <f>IF($R42/$J42=0,"-",$R42/$J42)</f>
        <v>0.25</v>
      </c>
      <c r="S43" s="181"/>
      <c r="T43" s="181"/>
      <c r="U43" s="25" t="s">
        <v>15</v>
      </c>
      <c r="V43" s="147"/>
      <c r="W43" s="84">
        <f>$W42/$V42</f>
        <v>0.18085106382978725</v>
      </c>
      <c r="X43" s="84">
        <f>X42/V42</f>
        <v>0.24680073126142599</v>
      </c>
      <c r="Y43" s="25" t="str">
        <f>IF((W42-X42)&lt;0,"미달","초과")</f>
        <v>미달</v>
      </c>
      <c r="Z43" s="134"/>
      <c r="AA43" s="130"/>
      <c r="AB43" s="26" t="s">
        <v>15</v>
      </c>
      <c r="AC43" s="90" t="str">
        <f>IFERROR(AC42-AB42,"-")</f>
        <v>-</v>
      </c>
      <c r="AD43" s="223"/>
      <c r="AE43" s="130"/>
      <c r="AF43" s="137"/>
      <c r="AG43" s="153"/>
      <c r="AH43" s="154"/>
      <c r="AI43" s="202"/>
      <c r="AJ43" s="203"/>
    </row>
    <row r="44" spans="2:36" s="46" customFormat="1" ht="32.1" customHeight="1" outlineLevel="1" x14ac:dyDescent="0.3">
      <c r="B44" s="295">
        <v>6</v>
      </c>
      <c r="C44" s="129" t="s">
        <v>35</v>
      </c>
      <c r="D44" s="129" t="s">
        <v>168</v>
      </c>
      <c r="E44" s="207" t="s">
        <v>13</v>
      </c>
      <c r="F44" s="129" t="s">
        <v>37</v>
      </c>
      <c r="G44" s="209" t="s">
        <v>169</v>
      </c>
      <c r="H44" s="159" t="s">
        <v>23</v>
      </c>
      <c r="I44" s="161">
        <v>0.85</v>
      </c>
      <c r="J44" s="129">
        <v>5</v>
      </c>
      <c r="K44" s="207" t="s">
        <v>170</v>
      </c>
      <c r="L44" s="131">
        <v>0.91400000000000003</v>
      </c>
      <c r="M44" s="15">
        <v>0.93799999999999994</v>
      </c>
      <c r="N44" s="15">
        <f>IF((((($I44-$L44)/($AD44-$Z44))*($N45-$Z44))+$L44)&gt;0.85,$I44,((($I44-$L44)/($AD44-$Z44))*($N45-$Z44))+$L44)</f>
        <v>0.85</v>
      </c>
      <c r="O44" s="15">
        <f>M44-N44</f>
        <v>8.7999999999999967E-2</v>
      </c>
      <c r="P44" s="16">
        <v>5</v>
      </c>
      <c r="Q44" s="17" t="s">
        <v>172</v>
      </c>
      <c r="R44" s="17" t="s">
        <v>172</v>
      </c>
      <c r="S44" s="208" t="s">
        <v>15</v>
      </c>
      <c r="T44" s="208" t="s">
        <v>15</v>
      </c>
      <c r="U44" s="19" t="s">
        <v>15</v>
      </c>
      <c r="V44" s="146" t="s">
        <v>172</v>
      </c>
      <c r="W44" s="96" t="s">
        <v>172</v>
      </c>
      <c r="X44" s="97" t="s">
        <v>172</v>
      </c>
      <c r="Y44" s="98" t="s">
        <v>172</v>
      </c>
      <c r="Z44" s="133">
        <v>45780</v>
      </c>
      <c r="AA44" s="135">
        <v>46874</v>
      </c>
      <c r="AB44" s="74" t="s">
        <v>15</v>
      </c>
      <c r="AC44" s="74" t="s">
        <v>15</v>
      </c>
      <c r="AD44" s="135">
        <v>46569</v>
      </c>
      <c r="AE44" s="135">
        <v>46752</v>
      </c>
      <c r="AF44" s="136">
        <f ca="1">AA44-TODAY()</f>
        <v>839</v>
      </c>
      <c r="AG44" s="138"/>
      <c r="AH44" s="152"/>
      <c r="AI44" s="173"/>
      <c r="AJ44" s="174"/>
    </row>
    <row r="45" spans="2:36" s="46" customFormat="1" ht="32.1" customHeight="1" outlineLevel="1" x14ac:dyDescent="0.3">
      <c r="B45" s="296"/>
      <c r="C45" s="185"/>
      <c r="D45" s="185"/>
      <c r="E45" s="185"/>
      <c r="F45" s="185"/>
      <c r="G45" s="186"/>
      <c r="H45" s="189"/>
      <c r="I45" s="191"/>
      <c r="J45" s="130"/>
      <c r="K45" s="178"/>
      <c r="L45" s="132"/>
      <c r="M45" s="22" t="s">
        <v>33</v>
      </c>
      <c r="N45" s="23">
        <v>46035</v>
      </c>
      <c r="O45" s="24" t="str">
        <f>IF(O44&gt;0,"초과","미달")</f>
        <v>초과</v>
      </c>
      <c r="P45" s="67">
        <f>$P44/$J44</f>
        <v>1</v>
      </c>
      <c r="Q45" s="68" t="s">
        <v>172</v>
      </c>
      <c r="R45" s="68" t="s">
        <v>172</v>
      </c>
      <c r="S45" s="181"/>
      <c r="T45" s="181"/>
      <c r="U45" s="25" t="s">
        <v>15</v>
      </c>
      <c r="V45" s="147"/>
      <c r="W45" s="84" t="s">
        <v>172</v>
      </c>
      <c r="X45" s="84" t="s">
        <v>172</v>
      </c>
      <c r="Y45" s="25" t="s">
        <v>172</v>
      </c>
      <c r="Z45" s="134"/>
      <c r="AA45" s="130"/>
      <c r="AB45" s="41" t="s">
        <v>15</v>
      </c>
      <c r="AC45" s="90" t="str">
        <f>IFERROR(AC44-AB44,"-")</f>
        <v>-</v>
      </c>
      <c r="AD45" s="184"/>
      <c r="AE45" s="130"/>
      <c r="AF45" s="137"/>
      <c r="AG45" s="153"/>
      <c r="AH45" s="154"/>
      <c r="AI45" s="157"/>
      <c r="AJ45" s="158"/>
    </row>
    <row r="46" spans="2:36" s="46" customFormat="1" ht="32.1" customHeight="1" outlineLevel="1" x14ac:dyDescent="0.3">
      <c r="B46" s="296"/>
      <c r="C46" s="185"/>
      <c r="D46" s="185"/>
      <c r="E46" s="185"/>
      <c r="F46" s="185"/>
      <c r="G46" s="186"/>
      <c r="H46" s="188" t="s">
        <v>24</v>
      </c>
      <c r="I46" s="190">
        <v>0.72</v>
      </c>
      <c r="J46" s="185">
        <v>96</v>
      </c>
      <c r="K46" s="185" t="s">
        <v>171</v>
      </c>
      <c r="L46" s="179">
        <v>0.70199999999999996</v>
      </c>
      <c r="M46" s="15">
        <v>0.71099999999999997</v>
      </c>
      <c r="N46" s="15">
        <f>IF((((($I46-$L46)/($AD46-$Z46))*($N47-$Z46))+$L46)&gt;0.85,$I46,((($I46-$L46)/($AD46-$Z46))*($N47-$Z46))+$L46)</f>
        <v>0.70781749049429654</v>
      </c>
      <c r="O46" s="15">
        <f>M46-N46</f>
        <v>3.1825095057034236E-3</v>
      </c>
      <c r="P46" s="30">
        <v>96</v>
      </c>
      <c r="Q46" s="28" t="s">
        <v>15</v>
      </c>
      <c r="R46" s="28" t="s">
        <v>15</v>
      </c>
      <c r="S46" s="148" t="s">
        <v>15</v>
      </c>
      <c r="T46" s="148" t="s">
        <v>15</v>
      </c>
      <c r="U46" s="31" t="s">
        <v>15</v>
      </c>
      <c r="V46" s="165" t="s">
        <v>15</v>
      </c>
      <c r="W46" s="129" t="s">
        <v>15</v>
      </c>
      <c r="X46" s="27" t="s">
        <v>15</v>
      </c>
      <c r="Y46" s="32" t="s">
        <v>15</v>
      </c>
      <c r="Z46" s="133">
        <v>45780</v>
      </c>
      <c r="AA46" s="135">
        <v>46874</v>
      </c>
      <c r="AB46" s="74" t="s">
        <v>15</v>
      </c>
      <c r="AC46" s="74" t="s">
        <v>15</v>
      </c>
      <c r="AD46" s="135">
        <v>46569</v>
      </c>
      <c r="AE46" s="135">
        <v>46752</v>
      </c>
      <c r="AF46" s="136">
        <f ca="1">AA46-TODAY()</f>
        <v>839</v>
      </c>
      <c r="AG46" s="197"/>
      <c r="AH46" s="198"/>
      <c r="AI46" s="155"/>
      <c r="AJ46" s="156"/>
    </row>
    <row r="47" spans="2:36" s="46" customFormat="1" ht="32.1" customHeight="1" outlineLevel="1" x14ac:dyDescent="0.3">
      <c r="B47" s="297"/>
      <c r="C47" s="130"/>
      <c r="D47" s="130"/>
      <c r="E47" s="130"/>
      <c r="F47" s="130"/>
      <c r="G47" s="210"/>
      <c r="H47" s="189"/>
      <c r="I47" s="191"/>
      <c r="J47" s="130"/>
      <c r="K47" s="130"/>
      <c r="L47" s="132"/>
      <c r="M47" s="22" t="s">
        <v>33</v>
      </c>
      <c r="N47" s="23">
        <v>46035</v>
      </c>
      <c r="O47" s="24" t="str">
        <f>IF(O46&gt;0,"초과","미달")</f>
        <v>초과</v>
      </c>
      <c r="P47" s="67">
        <f>$P46/$J46</f>
        <v>1</v>
      </c>
      <c r="Q47" s="68" t="s">
        <v>172</v>
      </c>
      <c r="R47" s="68" t="s">
        <v>172</v>
      </c>
      <c r="S47" s="149"/>
      <c r="T47" s="149"/>
      <c r="U47" s="40" t="s">
        <v>15</v>
      </c>
      <c r="V47" s="134"/>
      <c r="W47" s="130"/>
      <c r="X47" s="41" t="s">
        <v>15</v>
      </c>
      <c r="Y47" s="40" t="s">
        <v>15</v>
      </c>
      <c r="Z47" s="134"/>
      <c r="AA47" s="130"/>
      <c r="AB47" s="41" t="s">
        <v>15</v>
      </c>
      <c r="AC47" s="90" t="str">
        <f>IFERROR(AC46-AB46,"-")</f>
        <v>-</v>
      </c>
      <c r="AD47" s="184"/>
      <c r="AE47" s="130"/>
      <c r="AF47" s="137"/>
      <c r="AG47" s="211"/>
      <c r="AH47" s="212"/>
      <c r="AI47" s="157"/>
      <c r="AJ47" s="158"/>
    </row>
    <row r="48" spans="2:36" s="46" customFormat="1" ht="32.1" customHeight="1" outlineLevel="1" x14ac:dyDescent="0.3">
      <c r="B48" s="295">
        <v>7</v>
      </c>
      <c r="C48" s="129" t="s">
        <v>49</v>
      </c>
      <c r="D48" s="129" t="s">
        <v>71</v>
      </c>
      <c r="E48" s="207" t="s">
        <v>175</v>
      </c>
      <c r="F48" s="129" t="s">
        <v>37</v>
      </c>
      <c r="G48" s="209" t="s">
        <v>176</v>
      </c>
      <c r="H48" s="159" t="s">
        <v>23</v>
      </c>
      <c r="I48" s="161">
        <v>0.88100000000000001</v>
      </c>
      <c r="J48" s="129">
        <v>6</v>
      </c>
      <c r="K48" s="207" t="s">
        <v>173</v>
      </c>
      <c r="L48" s="131">
        <v>0.88100000000000001</v>
      </c>
      <c r="M48" s="15">
        <v>0.87</v>
      </c>
      <c r="N48" s="15">
        <f>IF((((($I48-$L48)/($AD48-$Z48))*($N49-$Z48))+$L48)&gt;0.85,$I48,((($I48-$L48)/($AD48-$Z48))*($N49-$Z48))+$L48)</f>
        <v>0.88100000000000001</v>
      </c>
      <c r="O48" s="15">
        <f>M48-N48</f>
        <v>-1.100000000000001E-2</v>
      </c>
      <c r="P48" s="16">
        <v>6</v>
      </c>
      <c r="Q48" s="17" t="s">
        <v>172</v>
      </c>
      <c r="R48" s="17" t="s">
        <v>172</v>
      </c>
      <c r="S48" s="208" t="s">
        <v>15</v>
      </c>
      <c r="T48" s="208" t="s">
        <v>15</v>
      </c>
      <c r="U48" s="19" t="s">
        <v>15</v>
      </c>
      <c r="V48" s="146" t="s">
        <v>172</v>
      </c>
      <c r="W48" s="96" t="s">
        <v>172</v>
      </c>
      <c r="X48" s="97" t="s">
        <v>172</v>
      </c>
      <c r="Y48" s="98" t="s">
        <v>172</v>
      </c>
      <c r="Z48" s="133">
        <v>45810</v>
      </c>
      <c r="AA48" s="135">
        <v>46889</v>
      </c>
      <c r="AB48" s="74" t="s">
        <v>15</v>
      </c>
      <c r="AC48" s="74" t="s">
        <v>15</v>
      </c>
      <c r="AD48" s="135">
        <v>45811</v>
      </c>
      <c r="AE48" s="135">
        <v>46889</v>
      </c>
      <c r="AF48" s="136">
        <f ca="1">AA48-TODAY()</f>
        <v>854</v>
      </c>
      <c r="AG48" s="138" t="s">
        <v>248</v>
      </c>
      <c r="AH48" s="152"/>
      <c r="AI48" s="200" t="s">
        <v>249</v>
      </c>
      <c r="AJ48" s="201"/>
    </row>
    <row r="49" spans="2:36" s="46" customFormat="1" ht="32.1" customHeight="1" outlineLevel="1" x14ac:dyDescent="0.3">
      <c r="B49" s="296"/>
      <c r="C49" s="185"/>
      <c r="D49" s="185"/>
      <c r="E49" s="185"/>
      <c r="F49" s="185"/>
      <c r="G49" s="186"/>
      <c r="H49" s="189"/>
      <c r="I49" s="191"/>
      <c r="J49" s="130"/>
      <c r="K49" s="178"/>
      <c r="L49" s="132"/>
      <c r="M49" s="22" t="s">
        <v>139</v>
      </c>
      <c r="N49" s="23">
        <v>46035</v>
      </c>
      <c r="O49" s="24" t="str">
        <f>IF(O48&gt;0,"초과","미달")</f>
        <v>미달</v>
      </c>
      <c r="P49" s="67">
        <f>$P48/$J48</f>
        <v>1</v>
      </c>
      <c r="Q49" s="68" t="s">
        <v>172</v>
      </c>
      <c r="R49" s="68" t="s">
        <v>172</v>
      </c>
      <c r="S49" s="181"/>
      <c r="T49" s="181"/>
      <c r="U49" s="25" t="s">
        <v>15</v>
      </c>
      <c r="V49" s="147"/>
      <c r="W49" s="84" t="s">
        <v>172</v>
      </c>
      <c r="X49" s="84" t="s">
        <v>172</v>
      </c>
      <c r="Y49" s="25" t="s">
        <v>172</v>
      </c>
      <c r="Z49" s="134"/>
      <c r="AA49" s="130"/>
      <c r="AB49" s="41" t="s">
        <v>15</v>
      </c>
      <c r="AC49" s="90" t="str">
        <f>IFERROR(AC48-AB48,"-")</f>
        <v>-</v>
      </c>
      <c r="AD49" s="184"/>
      <c r="AE49" s="130"/>
      <c r="AF49" s="137"/>
      <c r="AG49" s="153"/>
      <c r="AH49" s="154"/>
      <c r="AI49" s="202"/>
      <c r="AJ49" s="203"/>
    </row>
    <row r="50" spans="2:36" s="46" customFormat="1" ht="32.1" customHeight="1" outlineLevel="1" x14ac:dyDescent="0.3">
      <c r="B50" s="296"/>
      <c r="C50" s="185"/>
      <c r="D50" s="185"/>
      <c r="E50" s="185"/>
      <c r="F50" s="185"/>
      <c r="G50" s="186"/>
      <c r="H50" s="188" t="s">
        <v>24</v>
      </c>
      <c r="I50" s="190">
        <v>0.83</v>
      </c>
      <c r="J50" s="185">
        <v>65</v>
      </c>
      <c r="K50" s="185" t="s">
        <v>174</v>
      </c>
      <c r="L50" s="179">
        <v>0.75600000000000001</v>
      </c>
      <c r="M50" s="15">
        <v>0.79100000000000004</v>
      </c>
      <c r="N50" s="15">
        <f>IF((((($I50-$L50)/($AD50-$Z50))*($N51-$Z50))+$L50)&gt;0.85,$I50,((($I50-$L50)/($AD50-$Z50))*($N51-$Z50))+$L50)</f>
        <v>0.77487755102040812</v>
      </c>
      <c r="O50" s="15">
        <f>M50-N50</f>
        <v>1.6122448979591919E-2</v>
      </c>
      <c r="P50" s="30">
        <v>65</v>
      </c>
      <c r="Q50" s="28" t="s">
        <v>15</v>
      </c>
      <c r="R50" s="28" t="s">
        <v>15</v>
      </c>
      <c r="S50" s="148" t="s">
        <v>15</v>
      </c>
      <c r="T50" s="148" t="s">
        <v>15</v>
      </c>
      <c r="U50" s="31" t="s">
        <v>15</v>
      </c>
      <c r="V50" s="165" t="s">
        <v>15</v>
      </c>
      <c r="W50" s="129" t="s">
        <v>15</v>
      </c>
      <c r="X50" s="27" t="s">
        <v>15</v>
      </c>
      <c r="Y50" s="32" t="s">
        <v>15</v>
      </c>
      <c r="Z50" s="133">
        <v>45810</v>
      </c>
      <c r="AA50" s="135">
        <v>46889</v>
      </c>
      <c r="AB50" s="74" t="s">
        <v>15</v>
      </c>
      <c r="AC50" s="74" t="s">
        <v>15</v>
      </c>
      <c r="AD50" s="135">
        <v>46692</v>
      </c>
      <c r="AE50" s="135">
        <v>46873</v>
      </c>
      <c r="AF50" s="136">
        <f ca="1">AA50-TODAY()</f>
        <v>854</v>
      </c>
      <c r="AG50" s="204" t="s">
        <v>250</v>
      </c>
      <c r="AH50" s="193"/>
      <c r="AI50" s="205" t="s">
        <v>251</v>
      </c>
      <c r="AJ50" s="206"/>
    </row>
    <row r="51" spans="2:36" s="46" customFormat="1" ht="32.1" customHeight="1" outlineLevel="1" x14ac:dyDescent="0.3">
      <c r="B51" s="297"/>
      <c r="C51" s="130"/>
      <c r="D51" s="130"/>
      <c r="E51" s="130"/>
      <c r="F51" s="130"/>
      <c r="G51" s="210"/>
      <c r="H51" s="189"/>
      <c r="I51" s="191"/>
      <c r="J51" s="130"/>
      <c r="K51" s="130"/>
      <c r="L51" s="132"/>
      <c r="M51" s="22" t="s">
        <v>139</v>
      </c>
      <c r="N51" s="23">
        <v>46035</v>
      </c>
      <c r="O51" s="24" t="str">
        <f>IF(O50&gt;0,"초과","미달")</f>
        <v>초과</v>
      </c>
      <c r="P51" s="67">
        <f>$P50/$J50</f>
        <v>1</v>
      </c>
      <c r="Q51" s="68" t="s">
        <v>172</v>
      </c>
      <c r="R51" s="68" t="s">
        <v>172</v>
      </c>
      <c r="S51" s="149"/>
      <c r="T51" s="149"/>
      <c r="U51" s="40" t="s">
        <v>15</v>
      </c>
      <c r="V51" s="134"/>
      <c r="W51" s="130"/>
      <c r="X51" s="41" t="s">
        <v>15</v>
      </c>
      <c r="Y51" s="40" t="s">
        <v>15</v>
      </c>
      <c r="Z51" s="134"/>
      <c r="AA51" s="130"/>
      <c r="AB51" s="41" t="s">
        <v>15</v>
      </c>
      <c r="AC51" s="90" t="str">
        <f>IFERROR(AC50-AB50,"-")</f>
        <v>-</v>
      </c>
      <c r="AD51" s="184"/>
      <c r="AE51" s="130"/>
      <c r="AF51" s="137"/>
      <c r="AG51" s="153"/>
      <c r="AH51" s="154"/>
      <c r="AI51" s="202"/>
      <c r="AJ51" s="203"/>
    </row>
    <row r="52" spans="2:36" s="46" customFormat="1" ht="32.1" customHeight="1" outlineLevel="1" x14ac:dyDescent="0.3">
      <c r="B52" s="296">
        <v>8</v>
      </c>
      <c r="C52" s="185" t="s">
        <v>62</v>
      </c>
      <c r="D52" s="185" t="s">
        <v>72</v>
      </c>
      <c r="E52" s="177" t="s">
        <v>177</v>
      </c>
      <c r="F52" s="185" t="s">
        <v>37</v>
      </c>
      <c r="G52" s="186" t="s">
        <v>178</v>
      </c>
      <c r="H52" s="188" t="s">
        <v>23</v>
      </c>
      <c r="I52" s="190">
        <v>0.85</v>
      </c>
      <c r="J52" s="185">
        <v>8</v>
      </c>
      <c r="K52" s="177" t="s">
        <v>179</v>
      </c>
      <c r="L52" s="179">
        <v>0.85</v>
      </c>
      <c r="M52" s="58">
        <v>0.91300000000000003</v>
      </c>
      <c r="N52" s="58">
        <f>IF((((($I52-$L52)/($AD52-$Z52))*($N53-$Z52))+$L52)&gt;0.85,$I52,((($I52-$L52)/($AD52-$Z52))*($N53-$Z52))+$L52)</f>
        <v>0.85</v>
      </c>
      <c r="O52" s="58">
        <f>M52-N52</f>
        <v>6.3000000000000056E-2</v>
      </c>
      <c r="P52" s="30">
        <v>8</v>
      </c>
      <c r="Q52" s="59" t="s">
        <v>172</v>
      </c>
      <c r="R52" s="59" t="s">
        <v>172</v>
      </c>
      <c r="S52" s="180" t="s">
        <v>15</v>
      </c>
      <c r="T52" s="180" t="s">
        <v>15</v>
      </c>
      <c r="U52" s="31" t="s">
        <v>15</v>
      </c>
      <c r="V52" s="199" t="s">
        <v>172</v>
      </c>
      <c r="W52" s="89" t="s">
        <v>172</v>
      </c>
      <c r="X52" s="86" t="s">
        <v>172</v>
      </c>
      <c r="Y52" s="87" t="s">
        <v>172</v>
      </c>
      <c r="Z52" s="183">
        <v>45454</v>
      </c>
      <c r="AA52" s="150">
        <v>46173</v>
      </c>
      <c r="AB52" s="82" t="s">
        <v>15</v>
      </c>
      <c r="AC52" s="82" t="s">
        <v>15</v>
      </c>
      <c r="AD52" s="150">
        <v>45455</v>
      </c>
      <c r="AE52" s="150">
        <v>46173</v>
      </c>
      <c r="AF52" s="151">
        <f ca="1">AA52-TODAY()</f>
        <v>138</v>
      </c>
      <c r="AG52" s="192"/>
      <c r="AH52" s="193"/>
      <c r="AI52" s="155"/>
      <c r="AJ52" s="156"/>
    </row>
    <row r="53" spans="2:36" s="46" customFormat="1" ht="32.1" customHeight="1" outlineLevel="1" x14ac:dyDescent="0.3">
      <c r="B53" s="296"/>
      <c r="C53" s="185"/>
      <c r="D53" s="185"/>
      <c r="E53" s="185"/>
      <c r="F53" s="185"/>
      <c r="G53" s="186"/>
      <c r="H53" s="189"/>
      <c r="I53" s="191"/>
      <c r="J53" s="130"/>
      <c r="K53" s="178"/>
      <c r="L53" s="132"/>
      <c r="M53" s="22" t="s">
        <v>33</v>
      </c>
      <c r="N53" s="23">
        <v>46035</v>
      </c>
      <c r="O53" s="24" t="str">
        <f>IF(O52&gt;0,"초과","미달")</f>
        <v>초과</v>
      </c>
      <c r="P53" s="67">
        <f>$P52/$J52</f>
        <v>1</v>
      </c>
      <c r="Q53" s="68" t="s">
        <v>172</v>
      </c>
      <c r="R53" s="68" t="s">
        <v>172</v>
      </c>
      <c r="S53" s="181"/>
      <c r="T53" s="181"/>
      <c r="U53" s="25" t="s">
        <v>15</v>
      </c>
      <c r="V53" s="147"/>
      <c r="W53" s="84" t="s">
        <v>172</v>
      </c>
      <c r="X53" s="84" t="s">
        <v>172</v>
      </c>
      <c r="Y53" s="25" t="s">
        <v>172</v>
      </c>
      <c r="Z53" s="134"/>
      <c r="AA53" s="130"/>
      <c r="AB53" s="41" t="s">
        <v>15</v>
      </c>
      <c r="AC53" s="90" t="str">
        <f>IFERROR(AC52-AB52,"-")</f>
        <v>-</v>
      </c>
      <c r="AD53" s="184"/>
      <c r="AE53" s="130"/>
      <c r="AF53" s="137"/>
      <c r="AG53" s="153"/>
      <c r="AH53" s="154"/>
      <c r="AI53" s="157"/>
      <c r="AJ53" s="158"/>
    </row>
    <row r="54" spans="2:36" s="46" customFormat="1" ht="32.1" customHeight="1" outlineLevel="1" x14ac:dyDescent="0.3">
      <c r="B54" s="296"/>
      <c r="C54" s="185"/>
      <c r="D54" s="185"/>
      <c r="E54" s="185"/>
      <c r="F54" s="185"/>
      <c r="G54" s="186"/>
      <c r="H54" s="188" t="s">
        <v>24</v>
      </c>
      <c r="I54" s="190" t="s">
        <v>172</v>
      </c>
      <c r="J54" s="185" t="s">
        <v>172</v>
      </c>
      <c r="K54" s="185" t="s">
        <v>15</v>
      </c>
      <c r="L54" s="179" t="s">
        <v>172</v>
      </c>
      <c r="M54" s="15" t="s">
        <v>172</v>
      </c>
      <c r="N54" s="15" t="s">
        <v>172</v>
      </c>
      <c r="O54" s="15" t="s">
        <v>172</v>
      </c>
      <c r="P54" s="30" t="s">
        <v>172</v>
      </c>
      <c r="Q54" s="28" t="s">
        <v>15</v>
      </c>
      <c r="R54" s="28" t="s">
        <v>15</v>
      </c>
      <c r="S54" s="148" t="s">
        <v>15</v>
      </c>
      <c r="T54" s="148" t="s">
        <v>15</v>
      </c>
      <c r="U54" s="31" t="s">
        <v>15</v>
      </c>
      <c r="V54" s="165" t="s">
        <v>15</v>
      </c>
      <c r="W54" s="129" t="s">
        <v>15</v>
      </c>
      <c r="X54" s="27" t="s">
        <v>15</v>
      </c>
      <c r="Y54" s="32" t="s">
        <v>15</v>
      </c>
      <c r="Z54" s="133" t="s">
        <v>172</v>
      </c>
      <c r="AA54" s="135" t="s">
        <v>172</v>
      </c>
      <c r="AB54" s="74" t="s">
        <v>15</v>
      </c>
      <c r="AC54" s="74" t="s">
        <v>15</v>
      </c>
      <c r="AD54" s="135" t="s">
        <v>172</v>
      </c>
      <c r="AE54" s="135" t="s">
        <v>172</v>
      </c>
      <c r="AF54" s="136" t="s">
        <v>172</v>
      </c>
      <c r="AG54" s="197"/>
      <c r="AH54" s="198"/>
      <c r="AI54" s="155"/>
      <c r="AJ54" s="156"/>
    </row>
    <row r="55" spans="2:36" s="46" customFormat="1" ht="32.1" customHeight="1" outlineLevel="1" thickBot="1" x14ac:dyDescent="0.35">
      <c r="B55" s="298"/>
      <c r="C55" s="163"/>
      <c r="D55" s="163"/>
      <c r="E55" s="163"/>
      <c r="F55" s="163"/>
      <c r="G55" s="187"/>
      <c r="H55" s="160"/>
      <c r="I55" s="162"/>
      <c r="J55" s="163"/>
      <c r="K55" s="163"/>
      <c r="L55" s="194"/>
      <c r="M55" s="107" t="s">
        <v>15</v>
      </c>
      <c r="N55" s="108" t="s">
        <v>172</v>
      </c>
      <c r="O55" s="109" t="s">
        <v>172</v>
      </c>
      <c r="P55" s="103" t="s">
        <v>172</v>
      </c>
      <c r="Q55" s="104" t="s">
        <v>172</v>
      </c>
      <c r="R55" s="104" t="s">
        <v>172</v>
      </c>
      <c r="S55" s="164"/>
      <c r="T55" s="164"/>
      <c r="U55" s="36" t="s">
        <v>15</v>
      </c>
      <c r="V55" s="166"/>
      <c r="W55" s="163"/>
      <c r="X55" s="37" t="s">
        <v>15</v>
      </c>
      <c r="Y55" s="36" t="s">
        <v>15</v>
      </c>
      <c r="Z55" s="166"/>
      <c r="AA55" s="163"/>
      <c r="AB55" s="37" t="s">
        <v>15</v>
      </c>
      <c r="AC55" s="110" t="str">
        <f>IFERROR(AC54-AB54,"-")</f>
        <v>-</v>
      </c>
      <c r="AD55" s="195"/>
      <c r="AE55" s="163"/>
      <c r="AF55" s="196"/>
      <c r="AG55" s="171"/>
      <c r="AH55" s="172"/>
      <c r="AI55" s="175"/>
      <c r="AJ55" s="176"/>
    </row>
    <row r="56" spans="2:36" s="45" customFormat="1" ht="37.5" customHeight="1" thickBot="1" x14ac:dyDescent="0.35">
      <c r="B56" s="253" t="s">
        <v>95</v>
      </c>
      <c r="C56" s="224"/>
      <c r="D56" s="224"/>
      <c r="E56" s="224"/>
      <c r="F56" s="224"/>
      <c r="G56" s="224"/>
      <c r="H56" s="224"/>
      <c r="I56" s="224"/>
      <c r="J56" s="224"/>
      <c r="K56" s="224"/>
      <c r="L56" s="224"/>
      <c r="M56" s="224"/>
      <c r="N56" s="224"/>
      <c r="O56" s="224"/>
      <c r="P56" s="224"/>
      <c r="Q56" s="224"/>
      <c r="R56" s="224"/>
      <c r="S56" s="224"/>
      <c r="T56" s="224"/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  <c r="AF56" s="224"/>
      <c r="AG56" s="224"/>
      <c r="AH56" s="224"/>
      <c r="AI56" s="224"/>
      <c r="AJ56" s="254"/>
    </row>
    <row r="57" spans="2:36" s="46" customFormat="1" ht="69.95" customHeight="1" outlineLevel="1" x14ac:dyDescent="0.3">
      <c r="B57" s="296">
        <v>1</v>
      </c>
      <c r="C57" s="185" t="s">
        <v>39</v>
      </c>
      <c r="D57" s="185" t="s">
        <v>40</v>
      </c>
      <c r="E57" s="185" t="s">
        <v>41</v>
      </c>
      <c r="F57" s="185" t="s">
        <v>42</v>
      </c>
      <c r="G57" s="186" t="s">
        <v>43</v>
      </c>
      <c r="H57" s="188" t="s">
        <v>23</v>
      </c>
      <c r="I57" s="190" t="s">
        <v>48</v>
      </c>
      <c r="J57" s="185">
        <v>52</v>
      </c>
      <c r="K57" s="177" t="s">
        <v>47</v>
      </c>
      <c r="L57" s="179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2</v>
      </c>
      <c r="R57" s="59">
        <v>26</v>
      </c>
      <c r="S57" s="180">
        <v>2025</v>
      </c>
      <c r="T57" s="180">
        <v>1726</v>
      </c>
      <c r="U57" s="31">
        <v>1833</v>
      </c>
      <c r="V57" s="182" t="s">
        <v>15</v>
      </c>
      <c r="W57" s="185" t="s">
        <v>15</v>
      </c>
      <c r="X57" s="27" t="s">
        <v>15</v>
      </c>
      <c r="Y57" s="32" t="s">
        <v>15</v>
      </c>
      <c r="Z57" s="183">
        <v>45813</v>
      </c>
      <c r="AA57" s="150">
        <v>46907</v>
      </c>
      <c r="AB57" s="76" t="s">
        <v>108</v>
      </c>
      <c r="AC57" s="76" t="s">
        <v>108</v>
      </c>
      <c r="AD57" s="150">
        <v>46542</v>
      </c>
      <c r="AE57" s="150">
        <v>46907</v>
      </c>
      <c r="AF57" s="151">
        <f ca="1">AA57-TODAY()</f>
        <v>872</v>
      </c>
      <c r="AG57" s="192" t="s">
        <v>227</v>
      </c>
      <c r="AH57" s="193"/>
      <c r="AI57" s="255" t="s">
        <v>226</v>
      </c>
      <c r="AJ57" s="256"/>
    </row>
    <row r="58" spans="2:36" s="46" customFormat="1" ht="69.95" customHeight="1" outlineLevel="1" x14ac:dyDescent="0.3">
      <c r="B58" s="297"/>
      <c r="C58" s="130"/>
      <c r="D58" s="130"/>
      <c r="E58" s="130"/>
      <c r="F58" s="130"/>
      <c r="G58" s="210"/>
      <c r="H58" s="189"/>
      <c r="I58" s="191"/>
      <c r="J58" s="130"/>
      <c r="K58" s="178"/>
      <c r="L58" s="132"/>
      <c r="M58" s="22" t="s">
        <v>15</v>
      </c>
      <c r="N58" s="23" t="s">
        <v>103</v>
      </c>
      <c r="O58" s="24" t="s">
        <v>196</v>
      </c>
      <c r="P58" s="67">
        <f>$P57/$J57</f>
        <v>0.88461538461538458</v>
      </c>
      <c r="Q58" s="68">
        <f>$Q57/$J57</f>
        <v>3.8461538461538464E-2</v>
      </c>
      <c r="R58" s="68">
        <f>$R57/$J57</f>
        <v>0.5</v>
      </c>
      <c r="S58" s="181"/>
      <c r="T58" s="181"/>
      <c r="U58" s="25" t="str">
        <f>IF((T57-U57)&lt;0,(U57-T57)&amp;"㎥"&amp;" "&amp;"미달",(T57-U57)&amp;"㎥"&amp;" "&amp;"초과")</f>
        <v>107㎥ 미달</v>
      </c>
      <c r="V58" s="134"/>
      <c r="W58" s="130"/>
      <c r="X58" s="26" t="s">
        <v>15</v>
      </c>
      <c r="Y58" s="25" t="s">
        <v>15</v>
      </c>
      <c r="Z58" s="134"/>
      <c r="AA58" s="130"/>
      <c r="AB58" s="77" t="s">
        <v>15</v>
      </c>
      <c r="AC58" s="78" t="str">
        <f>IFERROR(AC57-AB57,"-")</f>
        <v>-</v>
      </c>
      <c r="AD58" s="223"/>
      <c r="AE58" s="130"/>
      <c r="AF58" s="137"/>
      <c r="AG58" s="153"/>
      <c r="AH58" s="154"/>
      <c r="AI58" s="202"/>
      <c r="AJ58" s="203"/>
    </row>
    <row r="59" spans="2:36" s="46" customFormat="1" ht="69.95" customHeight="1" outlineLevel="1" x14ac:dyDescent="0.3">
      <c r="B59" s="296">
        <v>2</v>
      </c>
      <c r="C59" s="185" t="s">
        <v>39</v>
      </c>
      <c r="D59" s="185" t="s">
        <v>44</v>
      </c>
      <c r="E59" s="185" t="s">
        <v>41</v>
      </c>
      <c r="F59" s="185" t="s">
        <v>42</v>
      </c>
      <c r="G59" s="186" t="s">
        <v>45</v>
      </c>
      <c r="H59" s="159" t="s">
        <v>23</v>
      </c>
      <c r="I59" s="161" t="s">
        <v>48</v>
      </c>
      <c r="J59" s="129">
        <v>43</v>
      </c>
      <c r="K59" s="207" t="s">
        <v>47</v>
      </c>
      <c r="L59" s="131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9</v>
      </c>
      <c r="R59" s="17">
        <v>29</v>
      </c>
      <c r="S59" s="208">
        <v>576</v>
      </c>
      <c r="T59" s="208">
        <v>533</v>
      </c>
      <c r="U59" s="19">
        <v>607</v>
      </c>
      <c r="V59" s="165" t="s">
        <v>15</v>
      </c>
      <c r="W59" s="129" t="s">
        <v>15</v>
      </c>
      <c r="X59" s="20" t="s">
        <v>15</v>
      </c>
      <c r="Y59" s="21" t="s">
        <v>15</v>
      </c>
      <c r="Z59" s="133">
        <v>45813</v>
      </c>
      <c r="AA59" s="135">
        <v>46907</v>
      </c>
      <c r="AB59" s="76" t="s">
        <v>108</v>
      </c>
      <c r="AC59" s="76" t="s">
        <v>108</v>
      </c>
      <c r="AD59" s="135">
        <v>46542</v>
      </c>
      <c r="AE59" s="135">
        <v>46907</v>
      </c>
      <c r="AF59" s="136">
        <f ca="1">AA59-TODAY()</f>
        <v>872</v>
      </c>
      <c r="AG59" s="138" t="s">
        <v>228</v>
      </c>
      <c r="AH59" s="152"/>
      <c r="AI59" s="220" t="s">
        <v>229</v>
      </c>
      <c r="AJ59" s="206"/>
    </row>
    <row r="60" spans="2:36" s="46" customFormat="1" ht="69.95" customHeight="1" outlineLevel="1" x14ac:dyDescent="0.3">
      <c r="B60" s="297"/>
      <c r="C60" s="130"/>
      <c r="D60" s="130"/>
      <c r="E60" s="130"/>
      <c r="F60" s="130"/>
      <c r="G60" s="210"/>
      <c r="H60" s="189"/>
      <c r="I60" s="191"/>
      <c r="J60" s="130"/>
      <c r="K60" s="178"/>
      <c r="L60" s="132"/>
      <c r="M60" s="22" t="s">
        <v>15</v>
      </c>
      <c r="N60" s="23" t="s">
        <v>103</v>
      </c>
      <c r="O60" s="24" t="s">
        <v>196</v>
      </c>
      <c r="P60" s="67">
        <f>$P59/$J59</f>
        <v>0.86046511627906974</v>
      </c>
      <c r="Q60" s="68">
        <f>$Q59/$J59</f>
        <v>0.20930232558139536</v>
      </c>
      <c r="R60" s="68">
        <f>IF(R59="-","-",R59/$J59)</f>
        <v>0.67441860465116277</v>
      </c>
      <c r="S60" s="181"/>
      <c r="T60" s="181"/>
      <c r="U60" s="40" t="str">
        <f>IF((T59-U59)&lt;0,(U59-T59)&amp;"㎥"&amp;" "&amp;"미달",(T59-U59)&amp;"㎥"&amp;" "&amp;"초과")</f>
        <v>74㎥ 미달</v>
      </c>
      <c r="V60" s="134"/>
      <c r="W60" s="130"/>
      <c r="X60" s="26" t="s">
        <v>15</v>
      </c>
      <c r="Y60" s="25" t="s">
        <v>15</v>
      </c>
      <c r="Z60" s="134"/>
      <c r="AA60" s="130"/>
      <c r="AB60" s="77" t="s">
        <v>15</v>
      </c>
      <c r="AC60" s="78" t="str">
        <f>IFERROR(AC59-AB59,"-")</f>
        <v>-</v>
      </c>
      <c r="AD60" s="223"/>
      <c r="AE60" s="130"/>
      <c r="AF60" s="137"/>
      <c r="AG60" s="153"/>
      <c r="AH60" s="154"/>
      <c r="AI60" s="202"/>
      <c r="AJ60" s="203"/>
    </row>
    <row r="61" spans="2:36" s="46" customFormat="1" ht="80.099999999999994" customHeight="1" outlineLevel="1" x14ac:dyDescent="0.3">
      <c r="B61" s="295">
        <v>3</v>
      </c>
      <c r="C61" s="129" t="s">
        <v>49</v>
      </c>
      <c r="D61" s="129" t="s">
        <v>75</v>
      </c>
      <c r="E61" s="129" t="s">
        <v>128</v>
      </c>
      <c r="F61" s="129" t="s">
        <v>42</v>
      </c>
      <c r="G61" s="209" t="s">
        <v>112</v>
      </c>
      <c r="H61" s="159" t="s">
        <v>23</v>
      </c>
      <c r="I61" s="161">
        <v>0.85</v>
      </c>
      <c r="J61" s="129">
        <v>10</v>
      </c>
      <c r="K61" s="207" t="s">
        <v>26</v>
      </c>
      <c r="L61" s="131">
        <v>0.88300000000000001</v>
      </c>
      <c r="M61" s="15">
        <v>0.90100000000000002</v>
      </c>
      <c r="N61" s="15">
        <f>IF((((($I61-$L61)/($AD61-$Z61))*($N62-$Z61))+$L61)&gt;0.85,$I61,((($I61-$L61)/($AD61-$Z61))*($N62-$Z61))+$L61)</f>
        <v>0.84783484162895928</v>
      </c>
      <c r="O61" s="15">
        <f>M61-N61</f>
        <v>5.3165158371040744E-2</v>
      </c>
      <c r="P61" s="16">
        <v>10</v>
      </c>
      <c r="Q61" s="17">
        <v>5</v>
      </c>
      <c r="R61" s="17">
        <v>5</v>
      </c>
      <c r="S61" s="208" t="s">
        <v>15</v>
      </c>
      <c r="T61" s="208">
        <v>212</v>
      </c>
      <c r="U61" s="19">
        <v>187</v>
      </c>
      <c r="V61" s="146">
        <v>81</v>
      </c>
      <c r="W61" s="96">
        <v>45</v>
      </c>
      <c r="X61" s="97">
        <f>($V61/($AA61-$Z61))*($N62-$Z61)</f>
        <v>69.74588665447898</v>
      </c>
      <c r="Y61" s="98">
        <f>IF((W61-X61)&lt;0,(X61-W61),(W61-X61))</f>
        <v>24.74588665447898</v>
      </c>
      <c r="Z61" s="133">
        <v>45093</v>
      </c>
      <c r="AA61" s="135">
        <v>46187</v>
      </c>
      <c r="AB61" s="74" t="s">
        <v>110</v>
      </c>
      <c r="AC61" s="74" t="s">
        <v>110</v>
      </c>
      <c r="AD61" s="135">
        <v>45977</v>
      </c>
      <c r="AE61" s="135">
        <v>46157</v>
      </c>
      <c r="AF61" s="136">
        <f ca="1">AA61-TODAY()</f>
        <v>152</v>
      </c>
      <c r="AG61" s="138" t="s">
        <v>167</v>
      </c>
      <c r="AH61" s="152"/>
      <c r="AI61" s="200"/>
      <c r="AJ61" s="201"/>
    </row>
    <row r="62" spans="2:36" s="46" customFormat="1" ht="80.099999999999994" customHeight="1" outlineLevel="1" x14ac:dyDescent="0.3">
      <c r="B62" s="296"/>
      <c r="C62" s="185"/>
      <c r="D62" s="185"/>
      <c r="E62" s="185"/>
      <c r="F62" s="185"/>
      <c r="G62" s="186"/>
      <c r="H62" s="189"/>
      <c r="I62" s="191"/>
      <c r="J62" s="130"/>
      <c r="K62" s="178"/>
      <c r="L62" s="132"/>
      <c r="M62" s="22" t="s">
        <v>197</v>
      </c>
      <c r="N62" s="23">
        <v>46035</v>
      </c>
      <c r="O62" s="24" t="str">
        <f>IF(O61&gt;0,"초과","미달")</f>
        <v>초과</v>
      </c>
      <c r="P62" s="67">
        <f>$P61/$J61</f>
        <v>1</v>
      </c>
      <c r="Q62" s="68">
        <f>$Q61/$J61</f>
        <v>0.5</v>
      </c>
      <c r="R62" s="68">
        <f>IF(R61="-","-",R61/$J61)</f>
        <v>0.5</v>
      </c>
      <c r="S62" s="181"/>
      <c r="T62" s="181"/>
      <c r="U62" s="40" t="str">
        <f>IF((T61-U61)&lt;0,(U61-T61)&amp;"㎥"&amp;" "&amp;"미달",(T61-U61)&amp;"㎥"&amp;" "&amp;"초과")</f>
        <v>25㎥ 초과</v>
      </c>
      <c r="V62" s="147"/>
      <c r="W62" s="84">
        <f>$W61/$V61</f>
        <v>0.55555555555555558</v>
      </c>
      <c r="X62" s="84">
        <f>X61/V61</f>
        <v>0.86106032906764174</v>
      </c>
      <c r="Y62" s="25" t="str">
        <f>IF((W61-X61)&lt;0,"미달","초과")</f>
        <v>미달</v>
      </c>
      <c r="Z62" s="134"/>
      <c r="AA62" s="130"/>
      <c r="AB62" s="41" t="s">
        <v>15</v>
      </c>
      <c r="AC62" s="80" t="str">
        <f>IFERROR(AC61-AB61,"-")</f>
        <v>-</v>
      </c>
      <c r="AD62" s="184"/>
      <c r="AE62" s="130"/>
      <c r="AF62" s="137"/>
      <c r="AG62" s="153"/>
      <c r="AH62" s="154"/>
      <c r="AI62" s="202"/>
      <c r="AJ62" s="203"/>
    </row>
    <row r="63" spans="2:36" s="46" customFormat="1" ht="24.95" customHeight="1" outlineLevel="1" x14ac:dyDescent="0.3">
      <c r="B63" s="296"/>
      <c r="C63" s="185"/>
      <c r="D63" s="185"/>
      <c r="E63" s="185"/>
      <c r="F63" s="185"/>
      <c r="G63" s="186"/>
      <c r="H63" s="188" t="s">
        <v>24</v>
      </c>
      <c r="I63" s="190" t="s">
        <v>15</v>
      </c>
      <c r="J63" s="185" t="s">
        <v>15</v>
      </c>
      <c r="K63" s="185" t="s">
        <v>15</v>
      </c>
      <c r="L63" s="185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148" t="s">
        <v>15</v>
      </c>
      <c r="T63" s="148" t="s">
        <v>15</v>
      </c>
      <c r="U63" s="31" t="s">
        <v>15</v>
      </c>
      <c r="V63" s="165" t="s">
        <v>15</v>
      </c>
      <c r="W63" s="129" t="s">
        <v>15</v>
      </c>
      <c r="X63" s="27" t="s">
        <v>15</v>
      </c>
      <c r="Y63" s="32" t="s">
        <v>15</v>
      </c>
      <c r="Z63" s="165" t="s">
        <v>15</v>
      </c>
      <c r="AA63" s="129" t="s">
        <v>15</v>
      </c>
      <c r="AB63" s="79" t="s">
        <v>15</v>
      </c>
      <c r="AC63" s="79" t="s">
        <v>15</v>
      </c>
      <c r="AD63" s="170" t="s">
        <v>15</v>
      </c>
      <c r="AE63" s="129" t="s">
        <v>15</v>
      </c>
      <c r="AF63" s="167" t="s">
        <v>15</v>
      </c>
      <c r="AG63" s="197"/>
      <c r="AH63" s="198"/>
      <c r="AI63" s="155"/>
      <c r="AJ63" s="156"/>
    </row>
    <row r="64" spans="2:36" s="46" customFormat="1" ht="24.95" customHeight="1" outlineLevel="1" x14ac:dyDescent="0.3">
      <c r="B64" s="297"/>
      <c r="C64" s="130"/>
      <c r="D64" s="130"/>
      <c r="E64" s="130"/>
      <c r="F64" s="130"/>
      <c r="G64" s="210"/>
      <c r="H64" s="189"/>
      <c r="I64" s="191"/>
      <c r="J64" s="130"/>
      <c r="K64" s="130"/>
      <c r="L64" s="130"/>
      <c r="M64" s="91" t="s">
        <v>15</v>
      </c>
      <c r="N64" s="92" t="s">
        <v>15</v>
      </c>
      <c r="O64" s="93" t="s">
        <v>15</v>
      </c>
      <c r="P64" s="94" t="s">
        <v>15</v>
      </c>
      <c r="Q64" s="75" t="s">
        <v>15</v>
      </c>
      <c r="R64" s="75" t="s">
        <v>15</v>
      </c>
      <c r="S64" s="149"/>
      <c r="T64" s="149"/>
      <c r="U64" s="40" t="s">
        <v>15</v>
      </c>
      <c r="V64" s="134"/>
      <c r="W64" s="130"/>
      <c r="X64" s="41" t="s">
        <v>15</v>
      </c>
      <c r="Y64" s="40" t="s">
        <v>15</v>
      </c>
      <c r="Z64" s="134"/>
      <c r="AA64" s="130"/>
      <c r="AB64" s="41" t="s">
        <v>15</v>
      </c>
      <c r="AC64" s="75" t="s">
        <v>15</v>
      </c>
      <c r="AD64" s="212"/>
      <c r="AE64" s="130"/>
      <c r="AF64" s="228"/>
      <c r="AG64" s="211"/>
      <c r="AH64" s="212"/>
      <c r="AI64" s="157"/>
      <c r="AJ64" s="158"/>
    </row>
    <row r="65" spans="2:36" s="46" customFormat="1" ht="24.95" customHeight="1" outlineLevel="1" x14ac:dyDescent="0.3">
      <c r="B65" s="295">
        <v>4</v>
      </c>
      <c r="C65" s="129" t="s">
        <v>49</v>
      </c>
      <c r="D65" s="129" t="s">
        <v>76</v>
      </c>
      <c r="E65" s="129" t="s">
        <v>13</v>
      </c>
      <c r="F65" s="129" t="s">
        <v>42</v>
      </c>
      <c r="G65" s="209" t="s">
        <v>152</v>
      </c>
      <c r="H65" s="159" t="s">
        <v>23</v>
      </c>
      <c r="I65" s="161" t="s">
        <v>153</v>
      </c>
      <c r="J65" s="129" t="s">
        <v>153</v>
      </c>
      <c r="K65" s="207" t="s">
        <v>153</v>
      </c>
      <c r="L65" s="131" t="s">
        <v>153</v>
      </c>
      <c r="M65" s="15" t="s">
        <v>153</v>
      </c>
      <c r="N65" s="131" t="s">
        <v>153</v>
      </c>
      <c r="O65" s="213" t="s">
        <v>153</v>
      </c>
      <c r="P65" s="30" t="s">
        <v>153</v>
      </c>
      <c r="Q65" s="59" t="s">
        <v>153</v>
      </c>
      <c r="R65" s="59" t="s">
        <v>153</v>
      </c>
      <c r="S65" s="180" t="s">
        <v>15</v>
      </c>
      <c r="T65" s="180" t="s">
        <v>153</v>
      </c>
      <c r="U65" s="31" t="s">
        <v>153</v>
      </c>
      <c r="V65" s="199" t="s">
        <v>153</v>
      </c>
      <c r="W65" s="226" t="s">
        <v>153</v>
      </c>
      <c r="X65" s="86" t="s">
        <v>153</v>
      </c>
      <c r="Y65" s="87" t="s">
        <v>153</v>
      </c>
      <c r="Z65" s="183" t="s">
        <v>153</v>
      </c>
      <c r="AA65" s="150" t="s">
        <v>153</v>
      </c>
      <c r="AB65" s="82" t="s">
        <v>15</v>
      </c>
      <c r="AC65" s="82" t="s">
        <v>15</v>
      </c>
      <c r="AD65" s="150" t="s">
        <v>172</v>
      </c>
      <c r="AE65" s="150" t="s">
        <v>172</v>
      </c>
      <c r="AF65" s="151" t="s">
        <v>153</v>
      </c>
      <c r="AG65" s="192"/>
      <c r="AH65" s="193"/>
      <c r="AI65" s="155"/>
      <c r="AJ65" s="156"/>
    </row>
    <row r="66" spans="2:36" s="46" customFormat="1" ht="24.95" customHeight="1" outlineLevel="1" x14ac:dyDescent="0.3">
      <c r="B66" s="296"/>
      <c r="C66" s="185"/>
      <c r="D66" s="185"/>
      <c r="E66" s="185"/>
      <c r="F66" s="185"/>
      <c r="G66" s="186"/>
      <c r="H66" s="189"/>
      <c r="I66" s="191"/>
      <c r="J66" s="130"/>
      <c r="K66" s="178"/>
      <c r="L66" s="132"/>
      <c r="M66" s="22" t="s">
        <v>153</v>
      </c>
      <c r="N66" s="132"/>
      <c r="O66" s="225"/>
      <c r="P66" s="67" t="s">
        <v>153</v>
      </c>
      <c r="Q66" s="68" t="s">
        <v>153</v>
      </c>
      <c r="R66" s="68" t="s">
        <v>153</v>
      </c>
      <c r="S66" s="181"/>
      <c r="T66" s="181"/>
      <c r="U66" s="40" t="s">
        <v>153</v>
      </c>
      <c r="V66" s="147"/>
      <c r="W66" s="227"/>
      <c r="X66" s="84" t="s">
        <v>153</v>
      </c>
      <c r="Y66" s="25" t="s">
        <v>153</v>
      </c>
      <c r="Z66" s="134"/>
      <c r="AA66" s="130"/>
      <c r="AB66" s="41" t="s">
        <v>15</v>
      </c>
      <c r="AC66" s="80" t="str">
        <f>IFERROR(AC65-AB65,"-")</f>
        <v>-</v>
      </c>
      <c r="AD66" s="184"/>
      <c r="AE66" s="130"/>
      <c r="AF66" s="137"/>
      <c r="AG66" s="153"/>
      <c r="AH66" s="154"/>
      <c r="AI66" s="157"/>
      <c r="AJ66" s="158"/>
    </row>
    <row r="67" spans="2:36" s="46" customFormat="1" ht="24.95" customHeight="1" outlineLevel="1" x14ac:dyDescent="0.3">
      <c r="B67" s="296"/>
      <c r="C67" s="185"/>
      <c r="D67" s="185"/>
      <c r="E67" s="185"/>
      <c r="F67" s="185"/>
      <c r="G67" s="186"/>
      <c r="H67" s="188" t="s">
        <v>24</v>
      </c>
      <c r="I67" s="190" t="s">
        <v>48</v>
      </c>
      <c r="J67" s="185">
        <v>12</v>
      </c>
      <c r="K67" s="185" t="s">
        <v>154</v>
      </c>
      <c r="L67" s="185" t="s">
        <v>48</v>
      </c>
      <c r="M67" s="27" t="s">
        <v>15</v>
      </c>
      <c r="N67" s="129" t="s">
        <v>153</v>
      </c>
      <c r="O67" s="213" t="s">
        <v>153</v>
      </c>
      <c r="P67" s="30">
        <v>12</v>
      </c>
      <c r="Q67" s="59" t="s">
        <v>153</v>
      </c>
      <c r="R67" s="59" t="s">
        <v>153</v>
      </c>
      <c r="S67" s="208">
        <v>225</v>
      </c>
      <c r="T67" s="208">
        <v>169</v>
      </c>
      <c r="U67" s="19">
        <v>198</v>
      </c>
      <c r="V67" s="146">
        <v>209</v>
      </c>
      <c r="W67" s="96">
        <v>209</v>
      </c>
      <c r="X67" s="97">
        <f ca="1">($V67/($AA67-$Z67))*(TODAY()-$Z67)</f>
        <v>182.49721913236931</v>
      </c>
      <c r="Y67" s="98">
        <f ca="1">IF((W67-X67)&lt;0,(X67-W67),(W67-X67))</f>
        <v>26.50278086763069</v>
      </c>
      <c r="Z67" s="133">
        <v>45250</v>
      </c>
      <c r="AA67" s="135">
        <v>46149</v>
      </c>
      <c r="AB67" s="79" t="s">
        <v>15</v>
      </c>
      <c r="AC67" s="79" t="s">
        <v>15</v>
      </c>
      <c r="AD67" s="217">
        <v>45968</v>
      </c>
      <c r="AE67" s="135">
        <v>46088</v>
      </c>
      <c r="AF67" s="136">
        <f ca="1">AA67-TODAY()</f>
        <v>114</v>
      </c>
      <c r="AG67" s="294" t="s">
        <v>155</v>
      </c>
      <c r="AH67" s="152"/>
      <c r="AI67" s="173"/>
      <c r="AJ67" s="174"/>
    </row>
    <row r="68" spans="2:36" s="46" customFormat="1" ht="24.95" customHeight="1" outlineLevel="1" x14ac:dyDescent="0.3">
      <c r="B68" s="297"/>
      <c r="C68" s="130"/>
      <c r="D68" s="130"/>
      <c r="E68" s="130"/>
      <c r="F68" s="130"/>
      <c r="G68" s="210"/>
      <c r="H68" s="189"/>
      <c r="I68" s="191"/>
      <c r="J68" s="130"/>
      <c r="K68" s="130"/>
      <c r="L68" s="130"/>
      <c r="M68" s="91" t="s">
        <v>15</v>
      </c>
      <c r="N68" s="130"/>
      <c r="O68" s="225"/>
      <c r="P68" s="67">
        <f>$P67/$J67</f>
        <v>1</v>
      </c>
      <c r="Q68" s="68" t="s">
        <v>153</v>
      </c>
      <c r="R68" s="68" t="s">
        <v>153</v>
      </c>
      <c r="S68" s="181"/>
      <c r="T68" s="181"/>
      <c r="U68" s="40" t="str">
        <f>IF((T67-U67)&lt;0,(U67-T67)&amp;"㎥"&amp;" "&amp;"미달",(T67-U67)&amp;"㎥"&amp;" "&amp;"초과")</f>
        <v>29㎥ 미달</v>
      </c>
      <c r="V68" s="147"/>
      <c r="W68" s="84">
        <f>$W67/$V67</f>
        <v>1</v>
      </c>
      <c r="X68" s="84">
        <f ca="1">X67/V67</f>
        <v>0.8731924360400446</v>
      </c>
      <c r="Y68" s="25" t="str">
        <f ca="1">IF((W67-X67)&lt;0,"미달","초과")</f>
        <v>초과</v>
      </c>
      <c r="Z68" s="134"/>
      <c r="AA68" s="130"/>
      <c r="AB68" s="41" t="s">
        <v>15</v>
      </c>
      <c r="AC68" s="75" t="s">
        <v>15</v>
      </c>
      <c r="AD68" s="212"/>
      <c r="AE68" s="130"/>
      <c r="AF68" s="137"/>
      <c r="AG68" s="153"/>
      <c r="AH68" s="154"/>
      <c r="AI68" s="157"/>
      <c r="AJ68" s="158"/>
    </row>
    <row r="69" spans="2:36" s="46" customFormat="1" ht="24.95" customHeight="1" outlineLevel="1" x14ac:dyDescent="0.3">
      <c r="B69" s="295">
        <v>5</v>
      </c>
      <c r="C69" s="129" t="s">
        <v>77</v>
      </c>
      <c r="D69" s="129" t="s">
        <v>78</v>
      </c>
      <c r="E69" s="207" t="s">
        <v>156</v>
      </c>
      <c r="F69" s="129" t="s">
        <v>42</v>
      </c>
      <c r="G69" s="209" t="s">
        <v>157</v>
      </c>
      <c r="H69" s="159" t="s">
        <v>23</v>
      </c>
      <c r="I69" s="161" t="s">
        <v>15</v>
      </c>
      <c r="J69" s="129" t="s">
        <v>15</v>
      </c>
      <c r="K69" s="207" t="s">
        <v>15</v>
      </c>
      <c r="L69" s="131" t="s">
        <v>15</v>
      </c>
      <c r="M69" s="15" t="s">
        <v>15</v>
      </c>
      <c r="N69" s="131" t="s">
        <v>15</v>
      </c>
      <c r="O69" s="213" t="s">
        <v>15</v>
      </c>
      <c r="P69" s="16" t="s">
        <v>15</v>
      </c>
      <c r="Q69" s="17" t="s">
        <v>15</v>
      </c>
      <c r="R69" s="17" t="s">
        <v>15</v>
      </c>
      <c r="S69" s="208" t="s">
        <v>15</v>
      </c>
      <c r="T69" s="208" t="s">
        <v>15</v>
      </c>
      <c r="U69" s="19" t="s">
        <v>15</v>
      </c>
      <c r="V69" s="146" t="s">
        <v>15</v>
      </c>
      <c r="W69" s="226" t="s">
        <v>15</v>
      </c>
      <c r="X69" s="97" t="s">
        <v>15</v>
      </c>
      <c r="Y69" s="98" t="s">
        <v>15</v>
      </c>
      <c r="Z69" s="133" t="s">
        <v>15</v>
      </c>
      <c r="AA69" s="135" t="s">
        <v>15</v>
      </c>
      <c r="AB69" s="74" t="s">
        <v>15</v>
      </c>
      <c r="AC69" s="74" t="s">
        <v>15</v>
      </c>
      <c r="AD69" s="135">
        <v>45977</v>
      </c>
      <c r="AE69" s="135">
        <v>46157</v>
      </c>
      <c r="AF69" s="136" t="s">
        <v>15</v>
      </c>
      <c r="AG69" s="138"/>
      <c r="AH69" s="152"/>
      <c r="AI69" s="173"/>
      <c r="AJ69" s="174"/>
    </row>
    <row r="70" spans="2:36" s="46" customFormat="1" ht="24.95" customHeight="1" outlineLevel="1" x14ac:dyDescent="0.3">
      <c r="B70" s="296"/>
      <c r="C70" s="185"/>
      <c r="D70" s="185"/>
      <c r="E70" s="185"/>
      <c r="F70" s="185"/>
      <c r="G70" s="186"/>
      <c r="H70" s="189"/>
      <c r="I70" s="191"/>
      <c r="J70" s="130"/>
      <c r="K70" s="178"/>
      <c r="L70" s="132"/>
      <c r="M70" s="22" t="s">
        <v>15</v>
      </c>
      <c r="N70" s="132"/>
      <c r="O70" s="225"/>
      <c r="P70" s="67" t="s">
        <v>15</v>
      </c>
      <c r="Q70" s="68" t="s">
        <v>15</v>
      </c>
      <c r="R70" s="68" t="s">
        <v>15</v>
      </c>
      <c r="S70" s="181"/>
      <c r="T70" s="181"/>
      <c r="U70" s="40" t="s">
        <v>15</v>
      </c>
      <c r="V70" s="147"/>
      <c r="W70" s="227"/>
      <c r="X70" s="84" t="s">
        <v>15</v>
      </c>
      <c r="Y70" s="25" t="s">
        <v>15</v>
      </c>
      <c r="Z70" s="134"/>
      <c r="AA70" s="130"/>
      <c r="AB70" s="41" t="s">
        <v>15</v>
      </c>
      <c r="AC70" s="80" t="str">
        <f>IFERROR(AC69-AB69,"-")</f>
        <v>-</v>
      </c>
      <c r="AD70" s="184"/>
      <c r="AE70" s="130"/>
      <c r="AF70" s="137"/>
      <c r="AG70" s="153"/>
      <c r="AH70" s="154"/>
      <c r="AI70" s="157"/>
      <c r="AJ70" s="158"/>
    </row>
    <row r="71" spans="2:36" s="46" customFormat="1" ht="100.5" customHeight="1" outlineLevel="1" x14ac:dyDescent="0.3">
      <c r="B71" s="296"/>
      <c r="C71" s="185"/>
      <c r="D71" s="185"/>
      <c r="E71" s="185"/>
      <c r="F71" s="185"/>
      <c r="G71" s="186"/>
      <c r="H71" s="188" t="s">
        <v>24</v>
      </c>
      <c r="I71" s="190">
        <v>0.83</v>
      </c>
      <c r="J71" s="185">
        <v>27</v>
      </c>
      <c r="K71" s="185" t="s">
        <v>214</v>
      </c>
      <c r="L71" s="179">
        <v>0.70799999999999996</v>
      </c>
      <c r="M71" s="122">
        <v>0.81699999999999995</v>
      </c>
      <c r="N71" s="58">
        <f>IF((((($I71-$L71)/($AD71-$Z71))*($N72-$Z71))+$L71)&gt;0.85,$I71,((($I71-$L71)/($AD71-$Z71))*($N72-$Z71))+$L71)</f>
        <v>0.77555371900826442</v>
      </c>
      <c r="O71" s="58">
        <f>M71-N71</f>
        <v>4.1446280991735529E-2</v>
      </c>
      <c r="P71" s="16">
        <v>27</v>
      </c>
      <c r="Q71" s="17">
        <v>2</v>
      </c>
      <c r="R71" s="17">
        <v>11</v>
      </c>
      <c r="S71" s="208">
        <v>798</v>
      </c>
      <c r="T71" s="208">
        <v>495</v>
      </c>
      <c r="U71" s="19">
        <v>737</v>
      </c>
      <c r="V71" s="146">
        <v>200</v>
      </c>
      <c r="W71" s="96">
        <v>67</v>
      </c>
      <c r="X71" s="97">
        <v>32</v>
      </c>
      <c r="Y71" s="98">
        <f>IF((W71-X71)&lt;0,(X71-W71),(W71-X71))</f>
        <v>35</v>
      </c>
      <c r="Z71" s="133">
        <v>45901</v>
      </c>
      <c r="AA71" s="135">
        <v>46260</v>
      </c>
      <c r="AB71" s="79" t="s">
        <v>15</v>
      </c>
      <c r="AC71" s="79" t="s">
        <v>15</v>
      </c>
      <c r="AD71" s="217">
        <v>46143</v>
      </c>
      <c r="AE71" s="135">
        <v>46234</v>
      </c>
      <c r="AF71" s="136">
        <f ca="1">AA71-TODAY()</f>
        <v>225</v>
      </c>
      <c r="AG71" s="192" t="s">
        <v>245</v>
      </c>
      <c r="AH71" s="193"/>
      <c r="AI71" s="220" t="s">
        <v>246</v>
      </c>
      <c r="AJ71" s="206"/>
    </row>
    <row r="72" spans="2:36" s="46" customFormat="1" ht="24.95" customHeight="1" outlineLevel="1" x14ac:dyDescent="0.3">
      <c r="B72" s="297"/>
      <c r="C72" s="130"/>
      <c r="D72" s="130"/>
      <c r="E72" s="130"/>
      <c r="F72" s="130"/>
      <c r="G72" s="210"/>
      <c r="H72" s="189"/>
      <c r="I72" s="191"/>
      <c r="J72" s="130"/>
      <c r="K72" s="130"/>
      <c r="L72" s="132"/>
      <c r="M72" s="91" t="s">
        <v>139</v>
      </c>
      <c r="N72" s="23">
        <v>46035</v>
      </c>
      <c r="O72" s="24" t="str">
        <f>IF(O71&gt;0,"초과","미달")</f>
        <v>초과</v>
      </c>
      <c r="P72" s="67">
        <f>$P71/$J71</f>
        <v>1</v>
      </c>
      <c r="Q72" s="68">
        <f>$Q71/$J71</f>
        <v>7.407407407407407E-2</v>
      </c>
      <c r="R72" s="68">
        <f>IF(R71="-","-",R71/$J71)</f>
        <v>0.40740740740740738</v>
      </c>
      <c r="S72" s="181"/>
      <c r="T72" s="181"/>
      <c r="U72" s="40" t="str">
        <f>IF((T71-U71)&lt;0,(U71-T71)&amp;"㎥"&amp;" "&amp;"미달",(T71-U71)&amp;"㎥"&amp;" "&amp;"초과")</f>
        <v>242㎥ 미달</v>
      </c>
      <c r="V72" s="147"/>
      <c r="W72" s="84">
        <f>$W71/$V71</f>
        <v>0.33500000000000002</v>
      </c>
      <c r="X72" s="84">
        <f>X71/V71</f>
        <v>0.16</v>
      </c>
      <c r="Y72" s="25" t="str">
        <f>IF((W71-X71)&lt;0,"미달","초과")</f>
        <v>초과</v>
      </c>
      <c r="Z72" s="134"/>
      <c r="AA72" s="130"/>
      <c r="AB72" s="41" t="s">
        <v>15</v>
      </c>
      <c r="AC72" s="75" t="s">
        <v>15</v>
      </c>
      <c r="AD72" s="212"/>
      <c r="AE72" s="130"/>
      <c r="AF72" s="137"/>
      <c r="AG72" s="153"/>
      <c r="AH72" s="154"/>
      <c r="AI72" s="202"/>
      <c r="AJ72" s="203"/>
    </row>
    <row r="73" spans="2:36" s="46" customFormat="1" ht="24.95" customHeight="1" outlineLevel="1" x14ac:dyDescent="0.3">
      <c r="B73" s="296">
        <v>6</v>
      </c>
      <c r="C73" s="185" t="s">
        <v>162</v>
      </c>
      <c r="D73" s="185" t="s">
        <v>163</v>
      </c>
      <c r="E73" s="177" t="s">
        <v>56</v>
      </c>
      <c r="F73" s="185" t="s">
        <v>42</v>
      </c>
      <c r="G73" s="186" t="s">
        <v>164</v>
      </c>
      <c r="H73" s="188" t="s">
        <v>23</v>
      </c>
      <c r="I73" s="190">
        <v>0.8</v>
      </c>
      <c r="J73" s="185">
        <v>92</v>
      </c>
      <c r="K73" s="177" t="s">
        <v>210</v>
      </c>
      <c r="L73" s="179">
        <v>0.74399999999999999</v>
      </c>
      <c r="M73" s="58">
        <v>0.76800000000000002</v>
      </c>
      <c r="N73" s="58">
        <f>IF((((($I73-$L73)/($AD73-$Z73))*($N74-$Z73))+$L73)&gt;0.85,$I73,((($I73-$L73)/($AD73-$Z73))*($N74-$Z73))+$L73)</f>
        <v>0.76493114754098357</v>
      </c>
      <c r="O73" s="58">
        <f>M73-N73</f>
        <v>3.0688524590164468E-3</v>
      </c>
      <c r="P73" s="30">
        <v>92</v>
      </c>
      <c r="Q73" s="59">
        <v>7</v>
      </c>
      <c r="R73" s="59">
        <v>31</v>
      </c>
      <c r="S73" s="180" t="s">
        <v>15</v>
      </c>
      <c r="T73" s="180" t="s">
        <v>15</v>
      </c>
      <c r="U73" s="31" t="s">
        <v>15</v>
      </c>
      <c r="V73" s="199">
        <v>858</v>
      </c>
      <c r="W73" s="96">
        <v>62</v>
      </c>
      <c r="X73" s="97">
        <v>32</v>
      </c>
      <c r="Y73" s="98">
        <f>IF((W73-X73)&lt;0,(X73-W73),(W73-X73))</f>
        <v>30</v>
      </c>
      <c r="Z73" s="183">
        <v>45807</v>
      </c>
      <c r="AA73" s="150">
        <v>46856</v>
      </c>
      <c r="AB73" s="82" t="s">
        <v>15</v>
      </c>
      <c r="AC73" s="82" t="s">
        <v>15</v>
      </c>
      <c r="AD73" s="150">
        <v>46417</v>
      </c>
      <c r="AE73" s="150">
        <v>46782</v>
      </c>
      <c r="AF73" s="151">
        <f ca="1">AA73-TODAY()</f>
        <v>821</v>
      </c>
      <c r="AG73" s="192"/>
      <c r="AH73" s="193"/>
      <c r="AI73" s="155"/>
      <c r="AJ73" s="156"/>
    </row>
    <row r="74" spans="2:36" s="46" customFormat="1" ht="24.95" customHeight="1" outlineLevel="1" x14ac:dyDescent="0.3">
      <c r="B74" s="296"/>
      <c r="C74" s="185"/>
      <c r="D74" s="185"/>
      <c r="E74" s="185"/>
      <c r="F74" s="185"/>
      <c r="G74" s="186"/>
      <c r="H74" s="189"/>
      <c r="I74" s="191"/>
      <c r="J74" s="130"/>
      <c r="K74" s="178"/>
      <c r="L74" s="132"/>
      <c r="M74" s="22" t="s">
        <v>139</v>
      </c>
      <c r="N74" s="23">
        <v>46035</v>
      </c>
      <c r="O74" s="24" t="str">
        <f>IF(O73&gt;0,"초과","미달")</f>
        <v>초과</v>
      </c>
      <c r="P74" s="67">
        <f>$P73/$J73</f>
        <v>1</v>
      </c>
      <c r="Q74" s="68">
        <f>$Q73/$J73</f>
        <v>7.6086956521739135E-2</v>
      </c>
      <c r="R74" s="68">
        <f>IF(R73="-","-",R73/$J73)</f>
        <v>0.33695652173913043</v>
      </c>
      <c r="S74" s="181"/>
      <c r="T74" s="181"/>
      <c r="U74" s="40" t="s">
        <v>15</v>
      </c>
      <c r="V74" s="147"/>
      <c r="W74" s="84">
        <f>$W73/$V73</f>
        <v>7.2261072261072257E-2</v>
      </c>
      <c r="X74" s="84">
        <f>X73/V73</f>
        <v>3.7296037296037296E-2</v>
      </c>
      <c r="Y74" s="25" t="str">
        <f>IF((W73-X73)&lt;0,"미달","초과")</f>
        <v>초과</v>
      </c>
      <c r="Z74" s="134"/>
      <c r="AA74" s="130"/>
      <c r="AB74" s="41" t="s">
        <v>15</v>
      </c>
      <c r="AC74" s="80" t="str">
        <f>IFERROR(AC73-AB73,"-")</f>
        <v>-</v>
      </c>
      <c r="AD74" s="184"/>
      <c r="AE74" s="130"/>
      <c r="AF74" s="137"/>
      <c r="AG74" s="153"/>
      <c r="AH74" s="154"/>
      <c r="AI74" s="157"/>
      <c r="AJ74" s="158"/>
    </row>
    <row r="75" spans="2:36" s="46" customFormat="1" ht="24.95" customHeight="1" outlineLevel="1" x14ac:dyDescent="0.3">
      <c r="B75" s="296"/>
      <c r="C75" s="185"/>
      <c r="D75" s="185"/>
      <c r="E75" s="185"/>
      <c r="F75" s="185"/>
      <c r="G75" s="186"/>
      <c r="H75" s="188" t="s">
        <v>24</v>
      </c>
      <c r="I75" s="190" t="s">
        <v>15</v>
      </c>
      <c r="J75" s="185" t="s">
        <v>165</v>
      </c>
      <c r="K75" s="185" t="s">
        <v>15</v>
      </c>
      <c r="L75" s="185" t="s">
        <v>15</v>
      </c>
      <c r="M75" s="27" t="s">
        <v>15</v>
      </c>
      <c r="N75" s="129" t="s">
        <v>15</v>
      </c>
      <c r="O75" s="213" t="s">
        <v>15</v>
      </c>
      <c r="P75" s="16" t="s">
        <v>15</v>
      </c>
      <c r="Q75" s="17" t="s">
        <v>15</v>
      </c>
      <c r="R75" s="17" t="s">
        <v>15</v>
      </c>
      <c r="S75" s="208" t="s">
        <v>165</v>
      </c>
      <c r="T75" s="208" t="s">
        <v>165</v>
      </c>
      <c r="U75" s="19" t="s">
        <v>165</v>
      </c>
      <c r="V75" s="146" t="s">
        <v>209</v>
      </c>
      <c r="W75" s="96" t="s">
        <v>209</v>
      </c>
      <c r="X75" s="97" t="s">
        <v>209</v>
      </c>
      <c r="Y75" s="98" t="s">
        <v>209</v>
      </c>
      <c r="Z75" s="133" t="s">
        <v>209</v>
      </c>
      <c r="AA75" s="135" t="s">
        <v>209</v>
      </c>
      <c r="AB75" s="79" t="s">
        <v>15</v>
      </c>
      <c r="AC75" s="79" t="s">
        <v>15</v>
      </c>
      <c r="AD75" s="217" t="s">
        <v>209</v>
      </c>
      <c r="AE75" s="135" t="s">
        <v>209</v>
      </c>
      <c r="AF75" s="151" t="s">
        <v>209</v>
      </c>
      <c r="AG75" s="192"/>
      <c r="AH75" s="193"/>
      <c r="AI75" s="220"/>
      <c r="AJ75" s="206"/>
    </row>
    <row r="76" spans="2:36" s="46" customFormat="1" ht="24.95" customHeight="1" outlineLevel="1" thickBot="1" x14ac:dyDescent="0.35">
      <c r="B76" s="298"/>
      <c r="C76" s="163"/>
      <c r="D76" s="163"/>
      <c r="E76" s="163"/>
      <c r="F76" s="163"/>
      <c r="G76" s="187"/>
      <c r="H76" s="160"/>
      <c r="I76" s="162"/>
      <c r="J76" s="163"/>
      <c r="K76" s="163"/>
      <c r="L76" s="163"/>
      <c r="M76" s="33" t="s">
        <v>15</v>
      </c>
      <c r="N76" s="163"/>
      <c r="O76" s="214"/>
      <c r="P76" s="103" t="s">
        <v>15</v>
      </c>
      <c r="Q76" s="104" t="s">
        <v>15</v>
      </c>
      <c r="R76" s="104" t="s">
        <v>15</v>
      </c>
      <c r="S76" s="215"/>
      <c r="T76" s="215"/>
      <c r="U76" s="36" t="s">
        <v>165</v>
      </c>
      <c r="V76" s="216"/>
      <c r="W76" s="105" t="s">
        <v>209</v>
      </c>
      <c r="X76" s="105" t="s">
        <v>209</v>
      </c>
      <c r="Y76" s="106" t="s">
        <v>209</v>
      </c>
      <c r="Z76" s="166"/>
      <c r="AA76" s="163"/>
      <c r="AB76" s="37" t="s">
        <v>15</v>
      </c>
      <c r="AC76" s="35" t="s">
        <v>15</v>
      </c>
      <c r="AD76" s="172"/>
      <c r="AE76" s="163"/>
      <c r="AF76" s="196"/>
      <c r="AG76" s="218"/>
      <c r="AH76" s="219"/>
      <c r="AI76" s="221"/>
      <c r="AJ76" s="222"/>
    </row>
    <row r="77" spans="2:36" s="45" customFormat="1" ht="37.5" customHeight="1" thickBot="1" x14ac:dyDescent="0.35">
      <c r="B77" s="224" t="s">
        <v>96</v>
      </c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</row>
    <row r="78" spans="2:36" s="46" customFormat="1" ht="93.75" customHeight="1" outlineLevel="1" thickBot="1" x14ac:dyDescent="0.35">
      <c r="B78" s="302">
        <v>1</v>
      </c>
      <c r="C78" s="261" t="s">
        <v>49</v>
      </c>
      <c r="D78" s="261" t="s">
        <v>50</v>
      </c>
      <c r="E78" s="261" t="s">
        <v>51</v>
      </c>
      <c r="F78" s="261" t="s">
        <v>52</v>
      </c>
      <c r="G78" s="258" t="s">
        <v>53</v>
      </c>
      <c r="H78" s="259" t="s">
        <v>23</v>
      </c>
      <c r="I78" s="260">
        <v>0.65</v>
      </c>
      <c r="J78" s="261">
        <v>7</v>
      </c>
      <c r="K78" s="262" t="s">
        <v>111</v>
      </c>
      <c r="L78" s="273">
        <v>0.52800000000000002</v>
      </c>
      <c r="M78" s="60">
        <v>0.621</v>
      </c>
      <c r="N78" s="60">
        <f>IF((((($I78-$L78)/($AD78-$Z78))*($N79-$Z78))+$L78)&gt;$I78,$I78,((($I78-$L78)/($AD78-$Z78))*($N79-$Z78))+$L78)</f>
        <v>0.65</v>
      </c>
      <c r="O78" s="60">
        <f>M78-N78</f>
        <v>-2.9000000000000026E-2</v>
      </c>
      <c r="P78" s="61">
        <v>4</v>
      </c>
      <c r="Q78" s="62">
        <v>1</v>
      </c>
      <c r="R78" s="62">
        <v>5</v>
      </c>
      <c r="S78" s="274" t="s">
        <v>15</v>
      </c>
      <c r="T78" s="274" t="s">
        <v>15</v>
      </c>
      <c r="U78" s="63" t="s">
        <v>15</v>
      </c>
      <c r="V78" s="257">
        <v>140</v>
      </c>
      <c r="W78" s="64">
        <v>88</v>
      </c>
      <c r="X78" s="65">
        <f>($V78/($AA78-$Z78))*($N79-$Z78)</f>
        <v>123.61204013377927</v>
      </c>
      <c r="Y78" s="66">
        <f>IF((W78-X78)&lt;0,(X78-W78),(W78-X78))</f>
        <v>35.612040133779274</v>
      </c>
      <c r="Z78" s="269">
        <v>45771</v>
      </c>
      <c r="AA78" s="271">
        <v>46070</v>
      </c>
      <c r="AB78" s="83" t="s">
        <v>110</v>
      </c>
      <c r="AC78" s="83" t="s">
        <v>110</v>
      </c>
      <c r="AD78" s="271">
        <v>45980</v>
      </c>
      <c r="AE78" s="271">
        <v>46041</v>
      </c>
      <c r="AF78" s="272">
        <f ca="1">AA78-TODAY()</f>
        <v>35</v>
      </c>
      <c r="AG78" s="263" t="s">
        <v>254</v>
      </c>
      <c r="AH78" s="264"/>
      <c r="AI78" s="255" t="s">
        <v>255</v>
      </c>
      <c r="AJ78" s="256"/>
    </row>
    <row r="79" spans="2:36" s="46" customFormat="1" ht="24.75" customHeight="1" outlineLevel="1" x14ac:dyDescent="0.3">
      <c r="B79" s="297"/>
      <c r="C79" s="130"/>
      <c r="D79" s="130"/>
      <c r="E79" s="130"/>
      <c r="F79" s="130"/>
      <c r="G79" s="210"/>
      <c r="H79" s="189"/>
      <c r="I79" s="191"/>
      <c r="J79" s="130"/>
      <c r="K79" s="178"/>
      <c r="L79" s="132"/>
      <c r="M79" s="22" t="s">
        <v>197</v>
      </c>
      <c r="N79" s="23">
        <v>46035</v>
      </c>
      <c r="O79" s="24" t="str">
        <f>IF(O78&gt;0,"초과","미달")</f>
        <v>미달</v>
      </c>
      <c r="P79" s="67">
        <f>$P78/$J78</f>
        <v>0.5714285714285714</v>
      </c>
      <c r="Q79" s="68">
        <f>$Q78/$J78</f>
        <v>0.14285714285714285</v>
      </c>
      <c r="R79" s="68">
        <f>$R78/$J78</f>
        <v>0.7142857142857143</v>
      </c>
      <c r="S79" s="181"/>
      <c r="T79" s="181"/>
      <c r="U79" s="25" t="s">
        <v>15</v>
      </c>
      <c r="V79" s="147"/>
      <c r="W79" s="68">
        <f>$W78/$V78</f>
        <v>0.62857142857142856</v>
      </c>
      <c r="X79" s="88">
        <f>X78/V78</f>
        <v>0.88294314381270911</v>
      </c>
      <c r="Y79" s="40" t="str">
        <f>IF((W78-X78)&lt;0,"미달","초과")</f>
        <v>미달</v>
      </c>
      <c r="Z79" s="270"/>
      <c r="AA79" s="223"/>
      <c r="AB79" s="85" t="s">
        <v>15</v>
      </c>
      <c r="AC79" s="80" t="str">
        <f>IFERROR(AC78-AB78," ")</f>
        <v xml:space="preserve"> </v>
      </c>
      <c r="AD79" s="223"/>
      <c r="AE79" s="223"/>
      <c r="AF79" s="137"/>
      <c r="AG79" s="265"/>
      <c r="AH79" s="266"/>
      <c r="AI79" s="267"/>
      <c r="AJ79" s="268"/>
    </row>
    <row r="80" spans="2:36" s="46" customFormat="1" ht="24.95" customHeight="1" outlineLevel="1" x14ac:dyDescent="0.3">
      <c r="B80" s="296">
        <v>2</v>
      </c>
      <c r="C80" s="185" t="s">
        <v>77</v>
      </c>
      <c r="D80" s="185" t="s">
        <v>85</v>
      </c>
      <c r="E80" s="177" t="s">
        <v>113</v>
      </c>
      <c r="F80" s="185" t="s">
        <v>52</v>
      </c>
      <c r="G80" s="186" t="s">
        <v>109</v>
      </c>
      <c r="H80" s="188" t="s">
        <v>23</v>
      </c>
      <c r="I80" s="190">
        <v>0.85</v>
      </c>
      <c r="J80" s="185">
        <v>9</v>
      </c>
      <c r="K80" s="177" t="s">
        <v>130</v>
      </c>
      <c r="L80" s="179">
        <v>0.745</v>
      </c>
      <c r="M80" s="58">
        <v>0.85899999999999999</v>
      </c>
      <c r="N80" s="58">
        <f>IF((((($I80-$L80)/($AD80-$Z80))*($N81-$Z80))+$L80)&gt;0.85,$I80,((($I80-$L80)/($AD80-$Z80))*($N81-$Z80))+$L80)</f>
        <v>0.85</v>
      </c>
      <c r="O80" s="58">
        <f>M80-N80</f>
        <v>9.000000000000008E-3</v>
      </c>
      <c r="P80" s="30">
        <v>9</v>
      </c>
      <c r="Q80" s="59" t="s">
        <v>15</v>
      </c>
      <c r="R80" s="81" t="s">
        <v>15</v>
      </c>
      <c r="S80" s="180">
        <v>162.19999999999999</v>
      </c>
      <c r="T80" s="180" t="s">
        <v>15</v>
      </c>
      <c r="U80" s="31">
        <v>133</v>
      </c>
      <c r="V80" s="199">
        <v>178</v>
      </c>
      <c r="W80" s="89">
        <v>220</v>
      </c>
      <c r="X80" s="86">
        <f>($V80/($AA80-$Z80))*($N81-$Z80)</f>
        <v>158.71056241426612</v>
      </c>
      <c r="Y80" s="87">
        <f>IF((W80-X80)&lt;0,(X80-W80),(W80-X80))</f>
        <v>61.289437585733879</v>
      </c>
      <c r="Z80" s="183">
        <v>45385</v>
      </c>
      <c r="AA80" s="150">
        <v>46114</v>
      </c>
      <c r="AB80" s="82" t="s">
        <v>110</v>
      </c>
      <c r="AC80" s="82" t="s">
        <v>110</v>
      </c>
      <c r="AD80" s="150">
        <v>45748</v>
      </c>
      <c r="AE80" s="150">
        <v>46053</v>
      </c>
      <c r="AF80" s="151">
        <f ca="1">AA80-TODAY()</f>
        <v>79</v>
      </c>
      <c r="AG80" s="192" t="s">
        <v>119</v>
      </c>
      <c r="AH80" s="193"/>
      <c r="AI80" s="155"/>
      <c r="AJ80" s="156"/>
    </row>
    <row r="81" spans="2:36" s="46" customFormat="1" ht="24.95" customHeight="1" outlineLevel="1" x14ac:dyDescent="0.3">
      <c r="B81" s="296"/>
      <c r="C81" s="185"/>
      <c r="D81" s="185"/>
      <c r="E81" s="185"/>
      <c r="F81" s="185"/>
      <c r="G81" s="186"/>
      <c r="H81" s="189"/>
      <c r="I81" s="191"/>
      <c r="J81" s="130"/>
      <c r="K81" s="178"/>
      <c r="L81" s="132"/>
      <c r="M81" s="22" t="s">
        <v>197</v>
      </c>
      <c r="N81" s="23">
        <v>46035</v>
      </c>
      <c r="O81" s="24" t="str">
        <f>IF(O80&gt;0,"초과","미달")</f>
        <v>초과</v>
      </c>
      <c r="P81" s="67">
        <f>$P80/$J80</f>
        <v>1</v>
      </c>
      <c r="Q81" s="68" t="s">
        <v>15</v>
      </c>
      <c r="R81" s="68" t="s">
        <v>15</v>
      </c>
      <c r="S81" s="181"/>
      <c r="T81" s="181"/>
      <c r="U81" s="40" t="str">
        <f>IFERROR(IF((T80-U80)&lt;0,(U80-T80)&amp;"㎥"&amp;" "&amp;"미달",(T80-U80)&amp;"㎥"&amp;" "&amp;"초과"),"-")</f>
        <v>-</v>
      </c>
      <c r="V81" s="147"/>
      <c r="W81" s="84">
        <f>$W80/$V80</f>
        <v>1.2359550561797752</v>
      </c>
      <c r="X81" s="84">
        <f>X80/V80</f>
        <v>0.89163237311385457</v>
      </c>
      <c r="Y81" s="25" t="str">
        <f>IF((W80-X80)&lt;0,"미달","초과")</f>
        <v>초과</v>
      </c>
      <c r="Z81" s="134"/>
      <c r="AA81" s="130"/>
      <c r="AB81" s="41" t="s">
        <v>15</v>
      </c>
      <c r="AC81" s="80" t="str">
        <f>IFERROR(AC80-AB80,"-")</f>
        <v>-</v>
      </c>
      <c r="AD81" s="184"/>
      <c r="AE81" s="130"/>
      <c r="AF81" s="137"/>
      <c r="AG81" s="153"/>
      <c r="AH81" s="154"/>
      <c r="AI81" s="157"/>
      <c r="AJ81" s="158"/>
    </row>
    <row r="82" spans="2:36" s="46" customFormat="1" ht="24.95" customHeight="1" outlineLevel="1" x14ac:dyDescent="0.3">
      <c r="B82" s="295">
        <v>3</v>
      </c>
      <c r="C82" s="129" t="s">
        <v>68</v>
      </c>
      <c r="D82" s="129" t="s">
        <v>82</v>
      </c>
      <c r="E82" s="207" t="s">
        <v>151</v>
      </c>
      <c r="F82" s="129" t="s">
        <v>52</v>
      </c>
      <c r="G82" s="209" t="s">
        <v>134</v>
      </c>
      <c r="H82" s="159" t="s">
        <v>23</v>
      </c>
      <c r="I82" s="161">
        <v>0.85</v>
      </c>
      <c r="J82" s="129">
        <v>7</v>
      </c>
      <c r="K82" s="207" t="s">
        <v>135</v>
      </c>
      <c r="L82" s="131">
        <v>0.92600000000000005</v>
      </c>
      <c r="M82" s="15">
        <v>0.89800000000000002</v>
      </c>
      <c r="N82" s="15">
        <f>IF((((($I82-$L82)/($AD82-$Z82))*($N83-$Z82))+$L82)&gt;0.85,$I82,((($I82-$L82)/($AD82-$Z82))*($N83-$Z82))+$L82)</f>
        <v>0.84750136986301372</v>
      </c>
      <c r="O82" s="15">
        <f>M82-N82</f>
        <v>5.04986301369863E-2</v>
      </c>
      <c r="P82" s="111">
        <v>7</v>
      </c>
      <c r="Q82" s="112" t="s">
        <v>147</v>
      </c>
      <c r="R82" s="113" t="s">
        <v>147</v>
      </c>
      <c r="S82" s="208">
        <v>246</v>
      </c>
      <c r="T82" s="208">
        <v>80</v>
      </c>
      <c r="U82" s="19">
        <v>105</v>
      </c>
      <c r="V82" s="146">
        <v>60</v>
      </c>
      <c r="W82" s="96">
        <v>57</v>
      </c>
      <c r="X82" s="97">
        <f>($V82/($AA82-$Z82))*($N83-$Z82)</f>
        <v>20.676416819012797</v>
      </c>
      <c r="Y82" s="98">
        <f>IF((W82-X82)&lt;0,(X82-W82),(W82-X82))</f>
        <v>36.3235831809872</v>
      </c>
      <c r="Z82" s="133">
        <v>45658</v>
      </c>
      <c r="AA82" s="135">
        <v>46752</v>
      </c>
      <c r="AB82" s="74" t="s">
        <v>15</v>
      </c>
      <c r="AC82" s="74" t="s">
        <v>15</v>
      </c>
      <c r="AD82" s="135">
        <v>46023</v>
      </c>
      <c r="AE82" s="135">
        <v>46752</v>
      </c>
      <c r="AF82" s="136">
        <f ca="1">AA82-TODAY()</f>
        <v>717</v>
      </c>
      <c r="AG82" s="138"/>
      <c r="AH82" s="152"/>
      <c r="AI82" s="173"/>
      <c r="AJ82" s="174"/>
    </row>
    <row r="83" spans="2:36" s="46" customFormat="1" ht="24.95" customHeight="1" outlineLevel="1" x14ac:dyDescent="0.3">
      <c r="B83" s="296"/>
      <c r="C83" s="185"/>
      <c r="D83" s="185"/>
      <c r="E83" s="185"/>
      <c r="F83" s="185"/>
      <c r="G83" s="186"/>
      <c r="H83" s="189"/>
      <c r="I83" s="191"/>
      <c r="J83" s="130"/>
      <c r="K83" s="178"/>
      <c r="L83" s="132"/>
      <c r="M83" s="22" t="s">
        <v>139</v>
      </c>
      <c r="N83" s="23">
        <v>46035</v>
      </c>
      <c r="O83" s="24" t="str">
        <f>IF(O82&gt;0,"초과","미달")</f>
        <v>초과</v>
      </c>
      <c r="P83" s="67">
        <f>$P82/$J82</f>
        <v>1</v>
      </c>
      <c r="Q83" s="68" t="s">
        <v>15</v>
      </c>
      <c r="R83" s="68" t="s">
        <v>15</v>
      </c>
      <c r="S83" s="181"/>
      <c r="T83" s="181"/>
      <c r="U83" s="40" t="str">
        <f>IF((T82-U82)&lt;0,(U82-T82)&amp;"㎥"&amp;" "&amp;"미달",(T82-U82)&amp;"㎥"&amp;" "&amp;"초과")</f>
        <v>25㎥ 미달</v>
      </c>
      <c r="V83" s="147"/>
      <c r="W83" s="84">
        <f>$W82/$V82</f>
        <v>0.95</v>
      </c>
      <c r="X83" s="84">
        <f>X82/V82</f>
        <v>0.3446069469835466</v>
      </c>
      <c r="Y83" s="25" t="str">
        <f>IF((W82-X82)&lt;0,"미달","초과")</f>
        <v>초과</v>
      </c>
      <c r="Z83" s="134"/>
      <c r="AA83" s="130"/>
      <c r="AB83" s="41" t="s">
        <v>15</v>
      </c>
      <c r="AC83" s="80" t="str">
        <f>IFERROR(AC82-AB82,"-")</f>
        <v>-</v>
      </c>
      <c r="AD83" s="184"/>
      <c r="AE83" s="130"/>
      <c r="AF83" s="137"/>
      <c r="AG83" s="153"/>
      <c r="AH83" s="154"/>
      <c r="AI83" s="157"/>
      <c r="AJ83" s="158"/>
    </row>
    <row r="84" spans="2:36" s="46" customFormat="1" ht="24.95" customHeight="1" outlineLevel="1" x14ac:dyDescent="0.3">
      <c r="B84" s="296"/>
      <c r="C84" s="185"/>
      <c r="D84" s="185"/>
      <c r="E84" s="185"/>
      <c r="F84" s="185"/>
      <c r="G84" s="186"/>
      <c r="H84" s="188" t="s">
        <v>24</v>
      </c>
      <c r="I84" s="190" t="s">
        <v>15</v>
      </c>
      <c r="J84" s="185" t="s">
        <v>15</v>
      </c>
      <c r="K84" s="185" t="s">
        <v>15</v>
      </c>
      <c r="L84" s="185" t="s">
        <v>15</v>
      </c>
      <c r="M84" s="27" t="s">
        <v>15</v>
      </c>
      <c r="N84" s="28" t="s">
        <v>15</v>
      </c>
      <c r="O84" s="29" t="s">
        <v>15</v>
      </c>
      <c r="P84" s="30" t="s">
        <v>15</v>
      </c>
      <c r="Q84" s="28" t="s">
        <v>15</v>
      </c>
      <c r="R84" s="28" t="s">
        <v>15</v>
      </c>
      <c r="S84" s="148" t="s">
        <v>15</v>
      </c>
      <c r="T84" s="148" t="s">
        <v>15</v>
      </c>
      <c r="U84" s="31" t="s">
        <v>15</v>
      </c>
      <c r="V84" s="165" t="s">
        <v>15</v>
      </c>
      <c r="W84" s="129" t="s">
        <v>15</v>
      </c>
      <c r="X84" s="27" t="s">
        <v>15</v>
      </c>
      <c r="Y84" s="32" t="s">
        <v>15</v>
      </c>
      <c r="Z84" s="165" t="s">
        <v>15</v>
      </c>
      <c r="AA84" s="129" t="s">
        <v>15</v>
      </c>
      <c r="AB84" s="79" t="s">
        <v>15</v>
      </c>
      <c r="AC84" s="79" t="s">
        <v>15</v>
      </c>
      <c r="AD84" s="170" t="s">
        <v>15</v>
      </c>
      <c r="AE84" s="129" t="s">
        <v>15</v>
      </c>
      <c r="AF84" s="167" t="s">
        <v>15</v>
      </c>
      <c r="AG84" s="197"/>
      <c r="AH84" s="198"/>
      <c r="AI84" s="155"/>
      <c r="AJ84" s="156"/>
    </row>
    <row r="85" spans="2:36" s="46" customFormat="1" ht="24.95" customHeight="1" outlineLevel="1" x14ac:dyDescent="0.3">
      <c r="B85" s="297"/>
      <c r="C85" s="130"/>
      <c r="D85" s="130"/>
      <c r="E85" s="130"/>
      <c r="F85" s="130"/>
      <c r="G85" s="210"/>
      <c r="H85" s="189"/>
      <c r="I85" s="191"/>
      <c r="J85" s="130"/>
      <c r="K85" s="130"/>
      <c r="L85" s="130"/>
      <c r="M85" s="91" t="s">
        <v>15</v>
      </c>
      <c r="N85" s="92" t="s">
        <v>15</v>
      </c>
      <c r="O85" s="93" t="s">
        <v>15</v>
      </c>
      <c r="P85" s="94" t="s">
        <v>15</v>
      </c>
      <c r="Q85" s="75" t="s">
        <v>15</v>
      </c>
      <c r="R85" s="75" t="s">
        <v>15</v>
      </c>
      <c r="S85" s="149"/>
      <c r="T85" s="149"/>
      <c r="U85" s="40" t="s">
        <v>15</v>
      </c>
      <c r="V85" s="134"/>
      <c r="W85" s="130"/>
      <c r="X85" s="41" t="s">
        <v>15</v>
      </c>
      <c r="Y85" s="40" t="s">
        <v>15</v>
      </c>
      <c r="Z85" s="134"/>
      <c r="AA85" s="130"/>
      <c r="AB85" s="41" t="s">
        <v>15</v>
      </c>
      <c r="AC85" s="75" t="s">
        <v>15</v>
      </c>
      <c r="AD85" s="212"/>
      <c r="AE85" s="130"/>
      <c r="AF85" s="228"/>
      <c r="AG85" s="211"/>
      <c r="AH85" s="212"/>
      <c r="AI85" s="157"/>
      <c r="AJ85" s="158"/>
    </row>
    <row r="86" spans="2:36" s="46" customFormat="1" ht="35.1" customHeight="1" outlineLevel="1" x14ac:dyDescent="0.3">
      <c r="B86" s="295">
        <v>4</v>
      </c>
      <c r="C86" s="129" t="s">
        <v>83</v>
      </c>
      <c r="D86" s="129" t="s">
        <v>84</v>
      </c>
      <c r="E86" s="207" t="s">
        <v>127</v>
      </c>
      <c r="F86" s="129" t="s">
        <v>52</v>
      </c>
      <c r="G86" s="209" t="s">
        <v>117</v>
      </c>
      <c r="H86" s="159" t="s">
        <v>23</v>
      </c>
      <c r="I86" s="161">
        <v>0.85</v>
      </c>
      <c r="J86" s="129">
        <v>7</v>
      </c>
      <c r="K86" s="207" t="s">
        <v>129</v>
      </c>
      <c r="L86" s="131">
        <v>0.79100000000000004</v>
      </c>
      <c r="M86" s="15">
        <v>0.88300000000000001</v>
      </c>
      <c r="N86" s="15">
        <f>IF((((($I86-$L86)/($AD86-$Z86))*($N87-$Z86))+$L86)&gt;0.85,$I86,((($I86-$L86)/($AD86-$Z86))*($N87-$Z86))+$L86)</f>
        <v>0.85</v>
      </c>
      <c r="O86" s="15">
        <f>M86-N86</f>
        <v>3.3000000000000029E-2</v>
      </c>
      <c r="P86" s="16">
        <v>7</v>
      </c>
      <c r="Q86" s="17">
        <v>1</v>
      </c>
      <c r="R86" s="18">
        <v>5</v>
      </c>
      <c r="S86" s="208">
        <v>102.2</v>
      </c>
      <c r="T86" s="208">
        <v>89</v>
      </c>
      <c r="U86" s="19">
        <v>84</v>
      </c>
      <c r="V86" s="146">
        <v>191</v>
      </c>
      <c r="W86" s="96">
        <v>115</v>
      </c>
      <c r="X86" s="97">
        <f>($V86/($AA86-$Z86))*($N87-$Z86)</f>
        <v>154.62872340425531</v>
      </c>
      <c r="Y86" s="98">
        <f>IF((W86-X86)&lt;0,(X86-W86),(W86-X86))</f>
        <v>39.628723404255311</v>
      </c>
      <c r="Z86" s="133">
        <v>45274</v>
      </c>
      <c r="AA86" s="135">
        <v>46214</v>
      </c>
      <c r="AB86" s="74">
        <v>45934</v>
      </c>
      <c r="AC86" s="74">
        <v>46026</v>
      </c>
      <c r="AD86" s="135">
        <v>45762</v>
      </c>
      <c r="AE86" s="135">
        <v>45945</v>
      </c>
      <c r="AF86" s="136">
        <f ca="1">AA86-TODAY()</f>
        <v>179</v>
      </c>
      <c r="AG86" s="138" t="s">
        <v>120</v>
      </c>
      <c r="AH86" s="152"/>
      <c r="AI86" s="229" t="s">
        <v>118</v>
      </c>
      <c r="AJ86" s="201"/>
    </row>
    <row r="87" spans="2:36" s="46" customFormat="1" ht="35.1" customHeight="1" outlineLevel="1" x14ac:dyDescent="0.3">
      <c r="B87" s="296"/>
      <c r="C87" s="185"/>
      <c r="D87" s="185"/>
      <c r="E87" s="185"/>
      <c r="F87" s="185"/>
      <c r="G87" s="186"/>
      <c r="H87" s="189"/>
      <c r="I87" s="191"/>
      <c r="J87" s="130"/>
      <c r="K87" s="178"/>
      <c r="L87" s="132"/>
      <c r="M87" s="22" t="s">
        <v>33</v>
      </c>
      <c r="N87" s="23">
        <v>46035</v>
      </c>
      <c r="O87" s="24" t="str">
        <f>IF(O86&gt;0,"초과","미달")</f>
        <v>초과</v>
      </c>
      <c r="P87" s="67">
        <f>$P86/$J86</f>
        <v>1</v>
      </c>
      <c r="Q87" s="68">
        <f>$Q86/$J86</f>
        <v>0.14285714285714285</v>
      </c>
      <c r="R87" s="68">
        <f>$R86/$J86</f>
        <v>0.7142857142857143</v>
      </c>
      <c r="S87" s="181"/>
      <c r="T87" s="181"/>
      <c r="U87" s="40" t="str">
        <f>IF((T86-U86)&lt;0,(U86-T86)&amp;"㎥"&amp;" "&amp;"미달",(T86-U86)&amp;"㎥"&amp;" "&amp;"초과")</f>
        <v>5㎥ 초과</v>
      </c>
      <c r="V87" s="147"/>
      <c r="W87" s="84">
        <f>$W86/$V86</f>
        <v>0.60209424083769636</v>
      </c>
      <c r="X87" s="84">
        <f>X86/V86</f>
        <v>0.80957446808510636</v>
      </c>
      <c r="Y87" s="25" t="str">
        <f>IF((W86-X86)&lt;0,"미달","초과")</f>
        <v>미달</v>
      </c>
      <c r="Z87" s="134"/>
      <c r="AA87" s="130"/>
      <c r="AB87" s="41" t="s">
        <v>107</v>
      </c>
      <c r="AC87" s="80">
        <f>AC86-AB86</f>
        <v>92</v>
      </c>
      <c r="AD87" s="184"/>
      <c r="AE87" s="130"/>
      <c r="AF87" s="137"/>
      <c r="AG87" s="153"/>
      <c r="AH87" s="154"/>
      <c r="AI87" s="202"/>
      <c r="AJ87" s="203"/>
    </row>
    <row r="88" spans="2:36" s="46" customFormat="1" ht="24.95" customHeight="1" outlineLevel="1" x14ac:dyDescent="0.3">
      <c r="B88" s="296"/>
      <c r="C88" s="185"/>
      <c r="D88" s="185"/>
      <c r="E88" s="185"/>
      <c r="F88" s="185"/>
      <c r="G88" s="186"/>
      <c r="H88" s="188" t="s">
        <v>24</v>
      </c>
      <c r="I88" s="190" t="s">
        <v>15</v>
      </c>
      <c r="J88" s="185" t="s">
        <v>15</v>
      </c>
      <c r="K88" s="185" t="s">
        <v>15</v>
      </c>
      <c r="L88" s="185" t="s">
        <v>15</v>
      </c>
      <c r="M88" s="27" t="s">
        <v>15</v>
      </c>
      <c r="N88" s="28" t="s">
        <v>15</v>
      </c>
      <c r="O88" s="29" t="s">
        <v>15</v>
      </c>
      <c r="P88" s="30" t="s">
        <v>15</v>
      </c>
      <c r="Q88" s="28" t="s">
        <v>15</v>
      </c>
      <c r="R88" s="28" t="s">
        <v>15</v>
      </c>
      <c r="S88" s="148" t="s">
        <v>15</v>
      </c>
      <c r="T88" s="148" t="s">
        <v>15</v>
      </c>
      <c r="U88" s="31" t="s">
        <v>15</v>
      </c>
      <c r="V88" s="165" t="s">
        <v>15</v>
      </c>
      <c r="W88" s="129" t="s">
        <v>15</v>
      </c>
      <c r="X88" s="27" t="s">
        <v>15</v>
      </c>
      <c r="Y88" s="32" t="s">
        <v>15</v>
      </c>
      <c r="Z88" s="165" t="s">
        <v>15</v>
      </c>
      <c r="AA88" s="129" t="s">
        <v>15</v>
      </c>
      <c r="AB88" s="74" t="s">
        <v>15</v>
      </c>
      <c r="AC88" s="74" t="s">
        <v>15</v>
      </c>
      <c r="AD88" s="170" t="s">
        <v>15</v>
      </c>
      <c r="AE88" s="129" t="s">
        <v>15</v>
      </c>
      <c r="AF88" s="167" t="s">
        <v>15</v>
      </c>
      <c r="AG88" s="197"/>
      <c r="AH88" s="198"/>
      <c r="AI88" s="155"/>
      <c r="AJ88" s="156"/>
    </row>
    <row r="89" spans="2:36" s="46" customFormat="1" ht="24.95" customHeight="1" outlineLevel="1" x14ac:dyDescent="0.3">
      <c r="B89" s="297"/>
      <c r="C89" s="130"/>
      <c r="D89" s="130"/>
      <c r="E89" s="130"/>
      <c r="F89" s="130"/>
      <c r="G89" s="210"/>
      <c r="H89" s="189"/>
      <c r="I89" s="191"/>
      <c r="J89" s="130"/>
      <c r="K89" s="130"/>
      <c r="L89" s="130"/>
      <c r="M89" s="91" t="s">
        <v>15</v>
      </c>
      <c r="N89" s="92" t="s">
        <v>15</v>
      </c>
      <c r="O89" s="93" t="s">
        <v>15</v>
      </c>
      <c r="P89" s="94" t="s">
        <v>15</v>
      </c>
      <c r="Q89" s="75" t="s">
        <v>15</v>
      </c>
      <c r="R89" s="75" t="s">
        <v>15</v>
      </c>
      <c r="S89" s="149"/>
      <c r="T89" s="149"/>
      <c r="U89" s="40" t="s">
        <v>15</v>
      </c>
      <c r="V89" s="134"/>
      <c r="W89" s="130"/>
      <c r="X89" s="41" t="s">
        <v>15</v>
      </c>
      <c r="Y89" s="40" t="s">
        <v>15</v>
      </c>
      <c r="Z89" s="134"/>
      <c r="AA89" s="130"/>
      <c r="AB89" s="41" t="s">
        <v>15</v>
      </c>
      <c r="AC89" s="80" t="str">
        <f>IFERROR(AC88-AB88,"-")</f>
        <v>-</v>
      </c>
      <c r="AD89" s="212"/>
      <c r="AE89" s="130"/>
      <c r="AF89" s="228"/>
      <c r="AG89" s="211"/>
      <c r="AH89" s="212"/>
      <c r="AI89" s="157"/>
      <c r="AJ89" s="158"/>
    </row>
    <row r="90" spans="2:36" s="46" customFormat="1" ht="24.95" customHeight="1" outlineLevel="1" x14ac:dyDescent="0.3">
      <c r="B90" s="295">
        <v>5</v>
      </c>
      <c r="C90" s="185" t="s">
        <v>136</v>
      </c>
      <c r="D90" s="185" t="s">
        <v>86</v>
      </c>
      <c r="E90" s="177" t="s">
        <v>198</v>
      </c>
      <c r="F90" s="129" t="s">
        <v>52</v>
      </c>
      <c r="G90" s="209" t="s">
        <v>137</v>
      </c>
      <c r="H90" s="159" t="s">
        <v>23</v>
      </c>
      <c r="I90" s="179">
        <v>0.85</v>
      </c>
      <c r="J90" s="185">
        <v>8</v>
      </c>
      <c r="K90" s="185" t="s">
        <v>138</v>
      </c>
      <c r="L90" s="179">
        <v>0.81</v>
      </c>
      <c r="M90" s="15">
        <v>0.91200000000000003</v>
      </c>
      <c r="N90" s="58">
        <v>0.85</v>
      </c>
      <c r="O90" s="102">
        <f>M90-N90</f>
        <v>6.2000000000000055E-2</v>
      </c>
      <c r="P90" s="16">
        <v>8</v>
      </c>
      <c r="Q90" s="17" t="s">
        <v>230</v>
      </c>
      <c r="R90" s="18" t="s">
        <v>230</v>
      </c>
      <c r="S90" s="148" t="s">
        <v>15</v>
      </c>
      <c r="T90" s="148" t="s">
        <v>15</v>
      </c>
      <c r="U90" s="31" t="s">
        <v>15</v>
      </c>
      <c r="V90" s="146">
        <v>63</v>
      </c>
      <c r="W90" s="96">
        <v>187</v>
      </c>
      <c r="X90" s="97">
        <f t="shared" ref="X90" si="0">($V90/($AA90-$Z90))*($N91-$Z90)</f>
        <v>62.122562674094702</v>
      </c>
      <c r="Y90" s="98">
        <f t="shared" ref="Y90" si="1">IF((W90-X90)&lt;0,(X90-W90),(W90-X90))</f>
        <v>124.8774373259053</v>
      </c>
      <c r="Z90" s="183">
        <v>45681</v>
      </c>
      <c r="AA90" s="150">
        <v>46040</v>
      </c>
      <c r="AB90" s="74" t="s">
        <v>15</v>
      </c>
      <c r="AC90" s="74" t="s">
        <v>15</v>
      </c>
      <c r="AD90" s="150">
        <v>45681</v>
      </c>
      <c r="AE90" s="150">
        <v>46045</v>
      </c>
      <c r="AF90" s="151">
        <f ca="1">AA90-TODAY()</f>
        <v>5</v>
      </c>
      <c r="AG90" s="286" t="s">
        <v>252</v>
      </c>
      <c r="AH90" s="287"/>
      <c r="AI90" s="282"/>
      <c r="AJ90" s="283"/>
    </row>
    <row r="91" spans="2:36" s="46" customFormat="1" ht="24.95" customHeight="1" outlineLevel="1" x14ac:dyDescent="0.3">
      <c r="B91" s="296"/>
      <c r="C91" s="185"/>
      <c r="D91" s="185"/>
      <c r="E91" s="185"/>
      <c r="F91" s="185"/>
      <c r="G91" s="186"/>
      <c r="H91" s="189"/>
      <c r="I91" s="132"/>
      <c r="J91" s="130"/>
      <c r="K91" s="130"/>
      <c r="L91" s="132"/>
      <c r="M91" s="22" t="s">
        <v>197</v>
      </c>
      <c r="N91" s="23">
        <v>46035</v>
      </c>
      <c r="O91" s="24" t="str">
        <f>IF(O90&gt;0,"초과","미달")</f>
        <v>초과</v>
      </c>
      <c r="P91" s="67">
        <f>$P90/$J90</f>
        <v>1</v>
      </c>
      <c r="Q91" s="68" t="s">
        <v>230</v>
      </c>
      <c r="R91" s="68" t="s">
        <v>230</v>
      </c>
      <c r="S91" s="149"/>
      <c r="T91" s="149"/>
      <c r="U91" s="40" t="s">
        <v>15</v>
      </c>
      <c r="V91" s="147"/>
      <c r="W91" s="84">
        <f t="shared" ref="W91" si="2">$W90/$V90</f>
        <v>2.9682539682539684</v>
      </c>
      <c r="X91" s="84">
        <f t="shared" ref="X91" si="3">X90/V90</f>
        <v>0.98607242339832857</v>
      </c>
      <c r="Y91" s="25" t="str">
        <f t="shared" ref="Y91" si="4">IF((W90-X90)&lt;0,"미달","초과")</f>
        <v>초과</v>
      </c>
      <c r="Z91" s="134"/>
      <c r="AA91" s="130"/>
      <c r="AB91" s="41" t="s">
        <v>15</v>
      </c>
      <c r="AC91" s="80" t="str">
        <f>IFERROR(AC90-AB90,"-")</f>
        <v>-</v>
      </c>
      <c r="AD91" s="184"/>
      <c r="AE91" s="130"/>
      <c r="AF91" s="137"/>
      <c r="AG91" s="288"/>
      <c r="AH91" s="289"/>
      <c r="AI91" s="284"/>
      <c r="AJ91" s="285"/>
    </row>
    <row r="92" spans="2:36" s="46" customFormat="1" ht="24.95" customHeight="1" outlineLevel="1" x14ac:dyDescent="0.3">
      <c r="B92" s="296"/>
      <c r="C92" s="185"/>
      <c r="D92" s="185"/>
      <c r="E92" s="185"/>
      <c r="F92" s="185"/>
      <c r="G92" s="186"/>
      <c r="H92" s="188" t="s">
        <v>24</v>
      </c>
      <c r="I92" s="131">
        <v>0.56499999999999995</v>
      </c>
      <c r="J92" s="129">
        <v>15</v>
      </c>
      <c r="K92" s="129" t="s">
        <v>140</v>
      </c>
      <c r="L92" s="131">
        <v>0.51500000000000001</v>
      </c>
      <c r="M92" s="15">
        <v>0.65600000000000003</v>
      </c>
      <c r="N92" s="15">
        <v>0.56499999999999995</v>
      </c>
      <c r="O92" s="102">
        <f>M92-N92</f>
        <v>9.1000000000000081E-2</v>
      </c>
      <c r="P92" s="16">
        <v>15</v>
      </c>
      <c r="Q92" s="17" t="s">
        <v>230</v>
      </c>
      <c r="R92" s="18" t="s">
        <v>230</v>
      </c>
      <c r="S92" s="148" t="s">
        <v>15</v>
      </c>
      <c r="T92" s="148" t="s">
        <v>15</v>
      </c>
      <c r="U92" s="31" t="s">
        <v>15</v>
      </c>
      <c r="V92" s="146" t="s">
        <v>201</v>
      </c>
      <c r="W92" s="96" t="s">
        <v>201</v>
      </c>
      <c r="X92" s="97" t="s">
        <v>201</v>
      </c>
      <c r="Y92" s="98" t="s">
        <v>201</v>
      </c>
      <c r="Z92" s="133">
        <v>45681</v>
      </c>
      <c r="AA92" s="135">
        <v>46040</v>
      </c>
      <c r="AB92" s="74" t="s">
        <v>15</v>
      </c>
      <c r="AC92" s="74" t="s">
        <v>15</v>
      </c>
      <c r="AD92" s="135">
        <v>45681</v>
      </c>
      <c r="AE92" s="135">
        <v>46045</v>
      </c>
      <c r="AF92" s="136">
        <f ca="1">AA92-TODAY()</f>
        <v>5</v>
      </c>
      <c r="AG92" s="290"/>
      <c r="AH92" s="291"/>
      <c r="AI92" s="282"/>
      <c r="AJ92" s="283"/>
    </row>
    <row r="93" spans="2:36" s="46" customFormat="1" ht="24.95" customHeight="1" outlineLevel="1" x14ac:dyDescent="0.3">
      <c r="B93" s="297"/>
      <c r="C93" s="130"/>
      <c r="D93" s="130"/>
      <c r="E93" s="130"/>
      <c r="F93" s="130"/>
      <c r="G93" s="210"/>
      <c r="H93" s="189"/>
      <c r="I93" s="132"/>
      <c r="J93" s="130"/>
      <c r="K93" s="130"/>
      <c r="L93" s="132"/>
      <c r="M93" s="22" t="s">
        <v>197</v>
      </c>
      <c r="N93" s="23">
        <v>46035</v>
      </c>
      <c r="O93" s="24" t="str">
        <f>IF(O92&gt;0,"초과","미달")</f>
        <v>초과</v>
      </c>
      <c r="P93" s="67">
        <f>$P92/$J92</f>
        <v>1</v>
      </c>
      <c r="Q93" s="68" t="s">
        <v>230</v>
      </c>
      <c r="R93" s="68" t="s">
        <v>230</v>
      </c>
      <c r="S93" s="149"/>
      <c r="T93" s="149"/>
      <c r="U93" s="40" t="s">
        <v>15</v>
      </c>
      <c r="V93" s="147"/>
      <c r="W93" s="84" t="s">
        <v>201</v>
      </c>
      <c r="X93" s="84" t="s">
        <v>201</v>
      </c>
      <c r="Y93" s="25" t="s">
        <v>201</v>
      </c>
      <c r="Z93" s="134"/>
      <c r="AA93" s="130"/>
      <c r="AB93" s="41" t="s">
        <v>15</v>
      </c>
      <c r="AC93" s="80" t="str">
        <f>IFERROR(AC92-AB92,"-")</f>
        <v>-</v>
      </c>
      <c r="AD93" s="184"/>
      <c r="AE93" s="130"/>
      <c r="AF93" s="137"/>
      <c r="AG93" s="292"/>
      <c r="AH93" s="293"/>
      <c r="AI93" s="284"/>
      <c r="AJ93" s="285"/>
    </row>
    <row r="94" spans="2:36" s="46" customFormat="1" ht="24.95" customHeight="1" outlineLevel="1" x14ac:dyDescent="0.3">
      <c r="B94" s="295">
        <v>6</v>
      </c>
      <c r="C94" s="129" t="s">
        <v>68</v>
      </c>
      <c r="D94" s="129" t="s">
        <v>81</v>
      </c>
      <c r="E94" s="207" t="s">
        <v>198</v>
      </c>
      <c r="F94" s="129" t="s">
        <v>52</v>
      </c>
      <c r="G94" s="209" t="s">
        <v>124</v>
      </c>
      <c r="H94" s="159" t="s">
        <v>194</v>
      </c>
      <c r="I94" s="131">
        <v>0.83</v>
      </c>
      <c r="J94" s="129">
        <v>20</v>
      </c>
      <c r="K94" s="129" t="s">
        <v>195</v>
      </c>
      <c r="L94" s="131">
        <v>0.82599999999999996</v>
      </c>
      <c r="M94" s="15">
        <v>0.875</v>
      </c>
      <c r="N94" s="15">
        <f>IF((((($I94-$L94)/($AD94-$Z94))*($N95-$Z94))+$L94)&gt;0.85,$I94,((($I94-$L94)/($AD94-$Z94))*($N95-$Z94))+$L94)</f>
        <v>0.82484541723666205</v>
      </c>
      <c r="O94" s="15">
        <f>M94-N94</f>
        <v>5.0154582763337952E-2</v>
      </c>
      <c r="P94" s="16">
        <v>18</v>
      </c>
      <c r="Q94" s="17" t="s">
        <v>196</v>
      </c>
      <c r="R94" s="18" t="s">
        <v>196</v>
      </c>
      <c r="S94" s="148" t="s">
        <v>15</v>
      </c>
      <c r="T94" s="148" t="s">
        <v>15</v>
      </c>
      <c r="U94" s="31" t="s">
        <v>15</v>
      </c>
      <c r="V94" s="146">
        <v>79</v>
      </c>
      <c r="W94" s="96">
        <v>56</v>
      </c>
      <c r="X94" s="97">
        <f>($V94/($AA94-$Z94))*($N95-$Z94)</f>
        <v>47.899425287356323</v>
      </c>
      <c r="Y94" s="98">
        <f>IF((W94-X94)&lt;0,(X94-W94),(W94-X94))</f>
        <v>8.1005747126436773</v>
      </c>
      <c r="Z94" s="133">
        <v>45824</v>
      </c>
      <c r="AA94" s="135">
        <v>46172</v>
      </c>
      <c r="AB94" s="74" t="s">
        <v>15</v>
      </c>
      <c r="AC94" s="74" t="s">
        <v>15</v>
      </c>
      <c r="AD94" s="135">
        <v>45093</v>
      </c>
      <c r="AE94" s="135">
        <v>46172</v>
      </c>
      <c r="AF94" s="136">
        <f ca="1">AA94-TODAY()</f>
        <v>137</v>
      </c>
      <c r="AG94" s="138" t="s">
        <v>232</v>
      </c>
      <c r="AH94" s="139"/>
      <c r="AI94" s="142"/>
      <c r="AJ94" s="143"/>
    </row>
    <row r="95" spans="2:36" s="46" customFormat="1" ht="24.95" customHeight="1" outlineLevel="1" x14ac:dyDescent="0.3">
      <c r="B95" s="296"/>
      <c r="C95" s="185"/>
      <c r="D95" s="185"/>
      <c r="E95" s="185"/>
      <c r="F95" s="185"/>
      <c r="G95" s="186"/>
      <c r="H95" s="189"/>
      <c r="I95" s="132"/>
      <c r="J95" s="130"/>
      <c r="K95" s="130"/>
      <c r="L95" s="132"/>
      <c r="M95" s="22" t="s">
        <v>197</v>
      </c>
      <c r="N95" s="23">
        <v>46035</v>
      </c>
      <c r="O95" s="24" t="str">
        <f>IF(O94&gt;0,"초과","미달")</f>
        <v>초과</v>
      </c>
      <c r="P95" s="67">
        <f>$P94/$J94</f>
        <v>0.9</v>
      </c>
      <c r="Q95" s="68" t="s">
        <v>196</v>
      </c>
      <c r="R95" s="68" t="s">
        <v>196</v>
      </c>
      <c r="S95" s="149"/>
      <c r="T95" s="149"/>
      <c r="U95" s="40" t="s">
        <v>15</v>
      </c>
      <c r="V95" s="147"/>
      <c r="W95" s="84">
        <f>$W94/$V94</f>
        <v>0.70886075949367089</v>
      </c>
      <c r="X95" s="84">
        <f>X94/V94</f>
        <v>0.60632183908045978</v>
      </c>
      <c r="Y95" s="25" t="str">
        <f>IF((W94-X94)&lt;0,"미달","초과")</f>
        <v>초과</v>
      </c>
      <c r="Z95" s="134"/>
      <c r="AA95" s="130"/>
      <c r="AB95" s="41" t="s">
        <v>15</v>
      </c>
      <c r="AC95" s="80" t="str">
        <f>IFERROR(AC94-AB94,"-")</f>
        <v>-</v>
      </c>
      <c r="AD95" s="130"/>
      <c r="AE95" s="130"/>
      <c r="AF95" s="137"/>
      <c r="AG95" s="140"/>
      <c r="AH95" s="141"/>
      <c r="AI95" s="144"/>
      <c r="AJ95" s="145"/>
    </row>
    <row r="96" spans="2:36" s="46" customFormat="1" ht="24.95" customHeight="1" outlineLevel="1" x14ac:dyDescent="0.3">
      <c r="B96" s="296"/>
      <c r="C96" s="185"/>
      <c r="D96" s="185"/>
      <c r="E96" s="185"/>
      <c r="F96" s="185"/>
      <c r="G96" s="186"/>
      <c r="H96" s="159" t="s">
        <v>23</v>
      </c>
      <c r="I96" s="161">
        <v>0.85</v>
      </c>
      <c r="J96" s="129">
        <v>13</v>
      </c>
      <c r="K96" s="207" t="s">
        <v>125</v>
      </c>
      <c r="L96" s="131">
        <v>0.86399999999999999</v>
      </c>
      <c r="M96" s="15">
        <v>0.89</v>
      </c>
      <c r="N96" s="15">
        <f>IF((((($I96-$L96)/($AD96-$Z96))*($N97-$Z96))+$L96)&gt;0.85,$I96,((($I96-$L96)/($AD96-$Z96))*($N97-$Z96))+$L96)</f>
        <v>0.85</v>
      </c>
      <c r="O96" s="15">
        <f>M96-N96</f>
        <v>4.0000000000000036E-2</v>
      </c>
      <c r="P96" s="16">
        <v>13</v>
      </c>
      <c r="Q96" s="17" t="s">
        <v>15</v>
      </c>
      <c r="R96" s="18" t="s">
        <v>15</v>
      </c>
      <c r="S96" s="208" t="s">
        <v>15</v>
      </c>
      <c r="T96" s="208" t="s">
        <v>15</v>
      </c>
      <c r="U96" s="19" t="s">
        <v>15</v>
      </c>
      <c r="V96" s="146" t="s">
        <v>196</v>
      </c>
      <c r="W96" s="96" t="s">
        <v>196</v>
      </c>
      <c r="X96" s="97" t="s">
        <v>196</v>
      </c>
      <c r="Y96" s="98" t="s">
        <v>196</v>
      </c>
      <c r="Z96" s="133">
        <v>45824</v>
      </c>
      <c r="AA96" s="135">
        <v>46172</v>
      </c>
      <c r="AB96" s="74" t="s">
        <v>110</v>
      </c>
      <c r="AC96" s="101" t="s">
        <v>110</v>
      </c>
      <c r="AD96" s="135">
        <v>45093</v>
      </c>
      <c r="AE96" s="135">
        <v>46172</v>
      </c>
      <c r="AF96" s="136">
        <f ca="1">AA96-TODAY()</f>
        <v>137</v>
      </c>
      <c r="AG96" s="138" t="s">
        <v>233</v>
      </c>
      <c r="AH96" s="152"/>
      <c r="AI96" s="229" t="s">
        <v>199</v>
      </c>
      <c r="AJ96" s="201"/>
    </row>
    <row r="97" spans="2:36" s="46" customFormat="1" ht="24.95" customHeight="1" outlineLevel="1" x14ac:dyDescent="0.3">
      <c r="B97" s="296"/>
      <c r="C97" s="185"/>
      <c r="D97" s="185"/>
      <c r="E97" s="185"/>
      <c r="F97" s="185"/>
      <c r="G97" s="186"/>
      <c r="H97" s="189"/>
      <c r="I97" s="191"/>
      <c r="J97" s="130"/>
      <c r="K97" s="178"/>
      <c r="L97" s="132"/>
      <c r="M97" s="22" t="s">
        <v>197</v>
      </c>
      <c r="N97" s="23">
        <v>46035</v>
      </c>
      <c r="O97" s="24" t="str">
        <f>IF(O96&gt;0,"초과","미달")</f>
        <v>초과</v>
      </c>
      <c r="P97" s="67">
        <f>$P96/$J96</f>
        <v>1</v>
      </c>
      <c r="Q97" s="68" t="s">
        <v>15</v>
      </c>
      <c r="R97" s="68" t="s">
        <v>15</v>
      </c>
      <c r="S97" s="181"/>
      <c r="T97" s="181"/>
      <c r="U97" s="25" t="s">
        <v>15</v>
      </c>
      <c r="V97" s="147"/>
      <c r="W97" s="84" t="s">
        <v>196</v>
      </c>
      <c r="X97" s="84" t="s">
        <v>196</v>
      </c>
      <c r="Y97" s="25" t="s">
        <v>196</v>
      </c>
      <c r="Z97" s="134"/>
      <c r="AA97" s="130"/>
      <c r="AB97" s="41" t="s">
        <v>15</v>
      </c>
      <c r="AC97" s="100" t="str">
        <f>IFERROR(AC96-AB96,"-")</f>
        <v>-</v>
      </c>
      <c r="AD97" s="130"/>
      <c r="AE97" s="130"/>
      <c r="AF97" s="137"/>
      <c r="AG97" s="153"/>
      <c r="AH97" s="154"/>
      <c r="AI97" s="202"/>
      <c r="AJ97" s="203"/>
    </row>
    <row r="98" spans="2:36" s="46" customFormat="1" ht="24.95" customHeight="1" outlineLevel="1" x14ac:dyDescent="0.3">
      <c r="B98" s="296"/>
      <c r="C98" s="185"/>
      <c r="D98" s="185"/>
      <c r="E98" s="185"/>
      <c r="F98" s="185"/>
      <c r="G98" s="186"/>
      <c r="H98" s="188" t="s">
        <v>24</v>
      </c>
      <c r="I98" s="190">
        <v>0.8</v>
      </c>
      <c r="J98" s="185">
        <v>7</v>
      </c>
      <c r="K98" s="207" t="s">
        <v>126</v>
      </c>
      <c r="L98" s="190">
        <v>0.66800000000000004</v>
      </c>
      <c r="M98" s="99">
        <v>0.82</v>
      </c>
      <c r="N98" s="58">
        <f>IF((((($I98-$L98)/($AD98-$Z98))*($N99-$Z98))+$L98)&gt;0.85,$I98,((($I98-$L98)/($AD98-$Z98))*($N99-$Z98))+$L98)</f>
        <v>0.62989876880984952</v>
      </c>
      <c r="O98" s="58">
        <f>M98-N98</f>
        <v>0.19010123119015043</v>
      </c>
      <c r="P98" s="30">
        <v>5</v>
      </c>
      <c r="Q98" s="28" t="s">
        <v>15</v>
      </c>
      <c r="R98" s="28" t="s">
        <v>15</v>
      </c>
      <c r="S98" s="148" t="s">
        <v>15</v>
      </c>
      <c r="T98" s="148" t="s">
        <v>15</v>
      </c>
      <c r="U98" s="31" t="s">
        <v>15</v>
      </c>
      <c r="V98" s="146" t="s">
        <v>196</v>
      </c>
      <c r="W98" s="96" t="s">
        <v>196</v>
      </c>
      <c r="X98" s="97" t="s">
        <v>196</v>
      </c>
      <c r="Y98" s="98" t="s">
        <v>196</v>
      </c>
      <c r="Z98" s="133">
        <v>45824</v>
      </c>
      <c r="AA98" s="135">
        <v>46172</v>
      </c>
      <c r="AB98" s="74" t="s">
        <v>110</v>
      </c>
      <c r="AC98" s="101" t="s">
        <v>110</v>
      </c>
      <c r="AD98" s="135">
        <v>45093</v>
      </c>
      <c r="AE98" s="135">
        <v>46172</v>
      </c>
      <c r="AF98" s="136">
        <f ca="1">AA98-TODAY()</f>
        <v>137</v>
      </c>
      <c r="AG98" s="138" t="s">
        <v>234</v>
      </c>
      <c r="AH98" s="139"/>
      <c r="AI98" s="155"/>
      <c r="AJ98" s="156"/>
    </row>
    <row r="99" spans="2:36" s="46" customFormat="1" ht="24.95" customHeight="1" outlineLevel="1" x14ac:dyDescent="0.3">
      <c r="B99" s="297"/>
      <c r="C99" s="130"/>
      <c r="D99" s="130"/>
      <c r="E99" s="130"/>
      <c r="F99" s="130"/>
      <c r="G99" s="210"/>
      <c r="H99" s="189"/>
      <c r="I99" s="191"/>
      <c r="J99" s="130"/>
      <c r="K99" s="178"/>
      <c r="L99" s="191"/>
      <c r="M99" s="91" t="s">
        <v>197</v>
      </c>
      <c r="N99" s="23">
        <v>46035</v>
      </c>
      <c r="O99" s="24" t="str">
        <f>IF(O98&gt;0,"초과","미달")</f>
        <v>초과</v>
      </c>
      <c r="P99" s="67">
        <f>$P98/$J98</f>
        <v>0.7142857142857143</v>
      </c>
      <c r="Q99" s="75" t="s">
        <v>15</v>
      </c>
      <c r="R99" s="75" t="s">
        <v>15</v>
      </c>
      <c r="S99" s="149"/>
      <c r="T99" s="149"/>
      <c r="U99" s="40" t="s">
        <v>15</v>
      </c>
      <c r="V99" s="147"/>
      <c r="W99" s="84" t="s">
        <v>196</v>
      </c>
      <c r="X99" s="84" t="s">
        <v>196</v>
      </c>
      <c r="Y99" s="25" t="s">
        <v>196</v>
      </c>
      <c r="Z99" s="134"/>
      <c r="AA99" s="130"/>
      <c r="AB99" s="41" t="s">
        <v>15</v>
      </c>
      <c r="AC99" s="100" t="str">
        <f>IFERROR(AC98-AB98,"-")</f>
        <v>-</v>
      </c>
      <c r="AD99" s="130"/>
      <c r="AE99" s="130"/>
      <c r="AF99" s="137"/>
      <c r="AG99" s="140"/>
      <c r="AH99" s="141"/>
      <c r="AI99" s="157"/>
      <c r="AJ99" s="158"/>
    </row>
    <row r="100" spans="2:36" s="46" customFormat="1" ht="24.95" customHeight="1" outlineLevel="1" x14ac:dyDescent="0.3">
      <c r="B100" s="295">
        <v>7</v>
      </c>
      <c r="C100" s="129" t="s">
        <v>65</v>
      </c>
      <c r="D100" s="129" t="s">
        <v>66</v>
      </c>
      <c r="E100" s="129" t="s">
        <v>148</v>
      </c>
      <c r="F100" s="129" t="s">
        <v>52</v>
      </c>
      <c r="G100" s="209" t="s">
        <v>149</v>
      </c>
      <c r="H100" s="159" t="s">
        <v>23</v>
      </c>
      <c r="I100" s="161">
        <v>0.7</v>
      </c>
      <c r="J100" s="129">
        <v>13</v>
      </c>
      <c r="K100" s="207" t="s">
        <v>150</v>
      </c>
      <c r="L100" s="131">
        <v>0.498</v>
      </c>
      <c r="M100" s="15">
        <v>0.64300000000000002</v>
      </c>
      <c r="N100" s="15">
        <f>IF((((($I100-$L100)/($AD100-$Z100))*($N101-$Z100))+$L100)&gt;0.85,$I100,((($I100-$L100)/($AD100-$Z100))*($N101-$Z100))+$L100)</f>
        <v>0.7</v>
      </c>
      <c r="O100" s="15">
        <f>M100-N100</f>
        <v>-5.699999999999994E-2</v>
      </c>
      <c r="P100" s="16">
        <v>9</v>
      </c>
      <c r="Q100" s="17" t="s">
        <v>15</v>
      </c>
      <c r="R100" s="18" t="s">
        <v>15</v>
      </c>
      <c r="S100" s="208" t="s">
        <v>15</v>
      </c>
      <c r="T100" s="208" t="s">
        <v>15</v>
      </c>
      <c r="U100" s="19" t="s">
        <v>15</v>
      </c>
      <c r="V100" s="165" t="s">
        <v>15</v>
      </c>
      <c r="W100" s="129" t="s">
        <v>15</v>
      </c>
      <c r="X100" s="20" t="s">
        <v>15</v>
      </c>
      <c r="Y100" s="21" t="s">
        <v>15</v>
      </c>
      <c r="Z100" s="133">
        <v>45456</v>
      </c>
      <c r="AA100" s="135">
        <v>46185</v>
      </c>
      <c r="AB100" s="74" t="s">
        <v>172</v>
      </c>
      <c r="AC100" s="74" t="s">
        <v>172</v>
      </c>
      <c r="AD100" s="135">
        <v>45457</v>
      </c>
      <c r="AE100" s="135">
        <v>46185</v>
      </c>
      <c r="AF100" s="136">
        <f ca="1">AA100-TODAY()</f>
        <v>150</v>
      </c>
      <c r="AG100" s="138" t="s">
        <v>192</v>
      </c>
      <c r="AH100" s="152"/>
      <c r="AI100" s="173"/>
      <c r="AJ100" s="174"/>
    </row>
    <row r="101" spans="2:36" s="46" customFormat="1" ht="24.95" customHeight="1" outlineLevel="1" x14ac:dyDescent="0.3">
      <c r="B101" s="296"/>
      <c r="C101" s="185"/>
      <c r="D101" s="185"/>
      <c r="E101" s="185"/>
      <c r="F101" s="185"/>
      <c r="G101" s="186"/>
      <c r="H101" s="189"/>
      <c r="I101" s="191"/>
      <c r="J101" s="130"/>
      <c r="K101" s="178"/>
      <c r="L101" s="132"/>
      <c r="M101" s="22" t="s">
        <v>197</v>
      </c>
      <c r="N101" s="23">
        <v>46035</v>
      </c>
      <c r="O101" s="24" t="str">
        <f>IF(O100&gt;0,"초과","미달")</f>
        <v>미달</v>
      </c>
      <c r="P101" s="67">
        <f>$P100/$J100</f>
        <v>0.69230769230769229</v>
      </c>
      <c r="Q101" s="68" t="s">
        <v>15</v>
      </c>
      <c r="R101" s="68" t="s">
        <v>15</v>
      </c>
      <c r="S101" s="181"/>
      <c r="T101" s="181"/>
      <c r="U101" s="25" t="s">
        <v>15</v>
      </c>
      <c r="V101" s="134"/>
      <c r="W101" s="130"/>
      <c r="X101" s="26" t="s">
        <v>15</v>
      </c>
      <c r="Y101" s="25" t="s">
        <v>15</v>
      </c>
      <c r="Z101" s="134"/>
      <c r="AA101" s="130"/>
      <c r="AB101" s="41" t="s">
        <v>15</v>
      </c>
      <c r="AC101" s="80" t="s">
        <v>172</v>
      </c>
      <c r="AD101" s="184"/>
      <c r="AE101" s="130"/>
      <c r="AF101" s="137"/>
      <c r="AG101" s="153"/>
      <c r="AH101" s="154"/>
      <c r="AI101" s="157"/>
      <c r="AJ101" s="158"/>
    </row>
    <row r="102" spans="2:36" s="46" customFormat="1" ht="24.95" customHeight="1" outlineLevel="1" x14ac:dyDescent="0.3">
      <c r="B102" s="296"/>
      <c r="C102" s="185"/>
      <c r="D102" s="185"/>
      <c r="E102" s="185"/>
      <c r="F102" s="185"/>
      <c r="G102" s="186"/>
      <c r="H102" s="159" t="s">
        <v>24</v>
      </c>
      <c r="I102" s="161" t="s">
        <v>15</v>
      </c>
      <c r="J102" s="129" t="s">
        <v>15</v>
      </c>
      <c r="K102" s="129" t="s">
        <v>15</v>
      </c>
      <c r="L102" s="129" t="s">
        <v>15</v>
      </c>
      <c r="M102" s="27" t="s">
        <v>15</v>
      </c>
      <c r="N102" s="28" t="s">
        <v>15</v>
      </c>
      <c r="O102" s="29" t="s">
        <v>15</v>
      </c>
      <c r="P102" s="30" t="s">
        <v>15</v>
      </c>
      <c r="Q102" s="28" t="s">
        <v>15</v>
      </c>
      <c r="R102" s="28" t="s">
        <v>15</v>
      </c>
      <c r="S102" s="148" t="s">
        <v>15</v>
      </c>
      <c r="T102" s="148" t="s">
        <v>15</v>
      </c>
      <c r="U102" s="31" t="s">
        <v>15</v>
      </c>
      <c r="V102" s="165" t="s">
        <v>15</v>
      </c>
      <c r="W102" s="129" t="s">
        <v>15</v>
      </c>
      <c r="X102" s="27" t="s">
        <v>15</v>
      </c>
      <c r="Y102" s="32" t="s">
        <v>15</v>
      </c>
      <c r="Z102" s="165" t="s">
        <v>15</v>
      </c>
      <c r="AA102" s="129" t="s">
        <v>15</v>
      </c>
      <c r="AB102" s="79" t="s">
        <v>15</v>
      </c>
      <c r="AC102" s="79" t="s">
        <v>15</v>
      </c>
      <c r="AD102" s="129" t="s">
        <v>15</v>
      </c>
      <c r="AE102" s="129" t="s">
        <v>15</v>
      </c>
      <c r="AF102" s="167" t="s">
        <v>15</v>
      </c>
      <c r="AG102" s="169"/>
      <c r="AH102" s="170"/>
      <c r="AI102" s="173"/>
      <c r="AJ102" s="174"/>
    </row>
    <row r="103" spans="2:36" s="46" customFormat="1" ht="24.95" customHeight="1" outlineLevel="1" x14ac:dyDescent="0.3">
      <c r="B103" s="297"/>
      <c r="C103" s="130"/>
      <c r="D103" s="130"/>
      <c r="E103" s="130"/>
      <c r="F103" s="130"/>
      <c r="G103" s="210"/>
      <c r="H103" s="189"/>
      <c r="I103" s="191"/>
      <c r="J103" s="130"/>
      <c r="K103" s="130"/>
      <c r="L103" s="130"/>
      <c r="M103" s="91" t="s">
        <v>15</v>
      </c>
      <c r="N103" s="92" t="s">
        <v>15</v>
      </c>
      <c r="O103" s="93" t="s">
        <v>15</v>
      </c>
      <c r="P103" s="94" t="s">
        <v>15</v>
      </c>
      <c r="Q103" s="75" t="s">
        <v>15</v>
      </c>
      <c r="R103" s="75" t="s">
        <v>15</v>
      </c>
      <c r="S103" s="149"/>
      <c r="T103" s="149"/>
      <c r="U103" s="40" t="s">
        <v>15</v>
      </c>
      <c r="V103" s="134"/>
      <c r="W103" s="130"/>
      <c r="X103" s="41" t="s">
        <v>15</v>
      </c>
      <c r="Y103" s="40" t="s">
        <v>15</v>
      </c>
      <c r="Z103" s="134"/>
      <c r="AA103" s="130"/>
      <c r="AB103" s="41" t="s">
        <v>15</v>
      </c>
      <c r="AC103" s="75" t="s">
        <v>15</v>
      </c>
      <c r="AD103" s="130"/>
      <c r="AE103" s="130"/>
      <c r="AF103" s="228"/>
      <c r="AG103" s="211"/>
      <c r="AH103" s="212"/>
      <c r="AI103" s="157"/>
      <c r="AJ103" s="158"/>
    </row>
    <row r="104" spans="2:36" ht="23.25" outlineLevel="1" x14ac:dyDescent="0.3">
      <c r="B104" s="296">
        <v>8</v>
      </c>
      <c r="C104" s="185" t="s">
        <v>65</v>
      </c>
      <c r="D104" s="185" t="s">
        <v>70</v>
      </c>
      <c r="E104" s="185" t="s">
        <v>148</v>
      </c>
      <c r="F104" s="185" t="s">
        <v>52</v>
      </c>
      <c r="G104" s="186" t="s">
        <v>187</v>
      </c>
      <c r="H104" s="188" t="s">
        <v>23</v>
      </c>
      <c r="I104" s="190">
        <v>0.85</v>
      </c>
      <c r="J104" s="185">
        <v>5</v>
      </c>
      <c r="K104" s="177" t="s">
        <v>188</v>
      </c>
      <c r="L104" s="179">
        <v>0.85</v>
      </c>
      <c r="M104" s="58">
        <v>0.874</v>
      </c>
      <c r="N104" s="58">
        <f>IF((((($I104-$L104)/($AD104-$Z104))*($N105-$Z104))+$L104)&gt;0.85,$I104,((($I104-$L104)/($AD104-$Z104))*($N105-$Z104))+$L104)</f>
        <v>0.85</v>
      </c>
      <c r="O104" s="58">
        <f>M104-N104</f>
        <v>2.4000000000000021E-2</v>
      </c>
      <c r="P104" s="30">
        <v>5</v>
      </c>
      <c r="Q104" s="59" t="s">
        <v>15</v>
      </c>
      <c r="R104" s="81" t="s">
        <v>15</v>
      </c>
      <c r="S104" s="180" t="s">
        <v>15</v>
      </c>
      <c r="T104" s="180" t="s">
        <v>15</v>
      </c>
      <c r="U104" s="31" t="s">
        <v>15</v>
      </c>
      <c r="V104" s="182">
        <v>70</v>
      </c>
      <c r="W104" s="89">
        <v>97</v>
      </c>
      <c r="X104" s="86">
        <f>($V104/($AA104-$Z104))*($N105-$Z104)</f>
        <v>56.116774791473581</v>
      </c>
      <c r="Y104" s="87">
        <f>IF((W104-X104)&lt;0,(X104-W104),(W104-X104))</f>
        <v>40.883225208526419</v>
      </c>
      <c r="Z104" s="183">
        <v>45170</v>
      </c>
      <c r="AA104" s="150">
        <v>46249</v>
      </c>
      <c r="AB104" s="82" t="s">
        <v>172</v>
      </c>
      <c r="AC104" s="82" t="s">
        <v>172</v>
      </c>
      <c r="AD104" s="150">
        <v>45171</v>
      </c>
      <c r="AE104" s="150">
        <v>46249</v>
      </c>
      <c r="AF104" s="151">
        <f ca="1">AA104-TODAY()</f>
        <v>214</v>
      </c>
      <c r="AG104" s="138"/>
      <c r="AH104" s="152"/>
      <c r="AI104" s="155"/>
      <c r="AJ104" s="156"/>
    </row>
    <row r="105" spans="2:36" ht="23.25" outlineLevel="1" x14ac:dyDescent="0.3">
      <c r="B105" s="296"/>
      <c r="C105" s="185"/>
      <c r="D105" s="185"/>
      <c r="E105" s="185"/>
      <c r="F105" s="185"/>
      <c r="G105" s="186"/>
      <c r="H105" s="189"/>
      <c r="I105" s="191"/>
      <c r="J105" s="130"/>
      <c r="K105" s="178"/>
      <c r="L105" s="132"/>
      <c r="M105" s="22" t="s">
        <v>197</v>
      </c>
      <c r="N105" s="23">
        <v>46035</v>
      </c>
      <c r="O105" s="24" t="str">
        <f>IF(O104&gt;0,"초과","미달")</f>
        <v>초과</v>
      </c>
      <c r="P105" s="67">
        <f>$P104/$J104</f>
        <v>1</v>
      </c>
      <c r="Q105" s="68" t="s">
        <v>15</v>
      </c>
      <c r="R105" s="68" t="s">
        <v>15</v>
      </c>
      <c r="S105" s="181"/>
      <c r="T105" s="181"/>
      <c r="U105" s="25" t="s">
        <v>15</v>
      </c>
      <c r="V105" s="134"/>
      <c r="W105" s="84">
        <f>$W104/$V104</f>
        <v>1.3857142857142857</v>
      </c>
      <c r="X105" s="84">
        <f>X104/V104</f>
        <v>0.80166821130676547</v>
      </c>
      <c r="Y105" s="25" t="str">
        <f>IF((W104-X104)&lt;0,"미달","초과")</f>
        <v>초과</v>
      </c>
      <c r="Z105" s="134"/>
      <c r="AA105" s="130"/>
      <c r="AB105" s="41" t="s">
        <v>15</v>
      </c>
      <c r="AC105" s="80" t="s">
        <v>172</v>
      </c>
      <c r="AD105" s="184"/>
      <c r="AE105" s="130"/>
      <c r="AF105" s="137"/>
      <c r="AG105" s="153"/>
      <c r="AH105" s="154"/>
      <c r="AI105" s="157"/>
      <c r="AJ105" s="158"/>
    </row>
    <row r="106" spans="2:36" ht="23.25" outlineLevel="1" x14ac:dyDescent="0.3">
      <c r="B106" s="296"/>
      <c r="C106" s="185"/>
      <c r="D106" s="185"/>
      <c r="E106" s="185"/>
      <c r="F106" s="185"/>
      <c r="G106" s="186"/>
      <c r="H106" s="159" t="s">
        <v>24</v>
      </c>
      <c r="I106" s="161" t="s">
        <v>15</v>
      </c>
      <c r="J106" s="129" t="s">
        <v>15</v>
      </c>
      <c r="K106" s="129" t="s">
        <v>15</v>
      </c>
      <c r="L106" s="129" t="s">
        <v>15</v>
      </c>
      <c r="M106" s="27" t="s">
        <v>15</v>
      </c>
      <c r="N106" s="28" t="s">
        <v>15</v>
      </c>
      <c r="O106" s="29" t="s">
        <v>15</v>
      </c>
      <c r="P106" s="30" t="s">
        <v>15</v>
      </c>
      <c r="Q106" s="28" t="s">
        <v>15</v>
      </c>
      <c r="R106" s="28" t="s">
        <v>15</v>
      </c>
      <c r="S106" s="148" t="s">
        <v>15</v>
      </c>
      <c r="T106" s="148" t="s">
        <v>15</v>
      </c>
      <c r="U106" s="31" t="s">
        <v>15</v>
      </c>
      <c r="V106" s="165" t="s">
        <v>15</v>
      </c>
      <c r="W106" s="129" t="s">
        <v>15</v>
      </c>
      <c r="X106" s="27" t="s">
        <v>15</v>
      </c>
      <c r="Y106" s="32" t="s">
        <v>15</v>
      </c>
      <c r="Z106" s="165" t="s">
        <v>15</v>
      </c>
      <c r="AA106" s="129" t="s">
        <v>15</v>
      </c>
      <c r="AB106" s="79" t="s">
        <v>15</v>
      </c>
      <c r="AC106" s="79" t="s">
        <v>15</v>
      </c>
      <c r="AD106" s="129" t="s">
        <v>15</v>
      </c>
      <c r="AE106" s="129" t="s">
        <v>15</v>
      </c>
      <c r="AF106" s="167" t="s">
        <v>15</v>
      </c>
      <c r="AG106" s="169"/>
      <c r="AH106" s="170"/>
      <c r="AI106" s="173"/>
      <c r="AJ106" s="174"/>
    </row>
    <row r="107" spans="2:36" ht="24" outlineLevel="1" thickBot="1" x14ac:dyDescent="0.35">
      <c r="B107" s="298"/>
      <c r="C107" s="163"/>
      <c r="D107" s="163"/>
      <c r="E107" s="163"/>
      <c r="F107" s="163"/>
      <c r="G107" s="187"/>
      <c r="H107" s="160"/>
      <c r="I107" s="162"/>
      <c r="J107" s="163"/>
      <c r="K107" s="163"/>
      <c r="L107" s="163"/>
      <c r="M107" s="33" t="s">
        <v>15</v>
      </c>
      <c r="N107" s="69" t="s">
        <v>15</v>
      </c>
      <c r="O107" s="70" t="s">
        <v>15</v>
      </c>
      <c r="P107" s="34" t="s">
        <v>15</v>
      </c>
      <c r="Q107" s="35" t="s">
        <v>15</v>
      </c>
      <c r="R107" s="35" t="s">
        <v>15</v>
      </c>
      <c r="S107" s="164"/>
      <c r="T107" s="164"/>
      <c r="U107" s="36" t="s">
        <v>15</v>
      </c>
      <c r="V107" s="166"/>
      <c r="W107" s="163"/>
      <c r="X107" s="37" t="s">
        <v>15</v>
      </c>
      <c r="Y107" s="36" t="s">
        <v>15</v>
      </c>
      <c r="Z107" s="166"/>
      <c r="AA107" s="163"/>
      <c r="AB107" s="37" t="s">
        <v>15</v>
      </c>
      <c r="AC107" s="35" t="s">
        <v>15</v>
      </c>
      <c r="AD107" s="163"/>
      <c r="AE107" s="163"/>
      <c r="AF107" s="168"/>
      <c r="AG107" s="171"/>
      <c r="AH107" s="172"/>
      <c r="AI107" s="175"/>
      <c r="AJ107" s="176"/>
    </row>
  </sheetData>
  <autoFilter ref="B5:AJ5" xr:uid="{771B0562-5677-4BBE-BBAE-54EF0A4DC3F7}">
    <filterColumn colId="31" showButton="0"/>
    <filterColumn colId="33" showButton="0"/>
  </autoFilter>
  <mergeCells count="948"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L65:L66"/>
    <mergeCell ref="S65:S66"/>
    <mergeCell ref="T65:T66"/>
    <mergeCell ref="V65:V66"/>
    <mergeCell ref="Z65:Z66"/>
    <mergeCell ref="AA65:AA66"/>
    <mergeCell ref="AD65:AD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I90:AJ91"/>
    <mergeCell ref="AI92:AJ93"/>
    <mergeCell ref="AG90:AH91"/>
    <mergeCell ref="AG92:AH93"/>
    <mergeCell ref="V90:V91"/>
    <mergeCell ref="V92:V93"/>
    <mergeCell ref="K90:K91"/>
    <mergeCell ref="L90:L91"/>
    <mergeCell ref="Z90:Z91"/>
    <mergeCell ref="AA90:AA91"/>
    <mergeCell ref="AD90:AD91"/>
    <mergeCell ref="AE90:AE91"/>
    <mergeCell ref="AF90:AF91"/>
    <mergeCell ref="K92:K93"/>
    <mergeCell ref="L92:L93"/>
    <mergeCell ref="Z92:Z93"/>
    <mergeCell ref="AA92:AA93"/>
    <mergeCell ref="AD92:AD93"/>
    <mergeCell ref="AE92:AE93"/>
    <mergeCell ref="AF92:AF93"/>
    <mergeCell ref="S90:S91"/>
    <mergeCell ref="T90:T91"/>
    <mergeCell ref="S92:S93"/>
    <mergeCell ref="T92:T93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H92:H93"/>
    <mergeCell ref="I92:I93"/>
    <mergeCell ref="J92:J93"/>
    <mergeCell ref="AE82:AE83"/>
    <mergeCell ref="AF82:AF83"/>
    <mergeCell ref="AG82:AH83"/>
    <mergeCell ref="AI82:AJ83"/>
    <mergeCell ref="H84:H85"/>
    <mergeCell ref="I84:I85"/>
    <mergeCell ref="J84:J85"/>
    <mergeCell ref="K84:K85"/>
    <mergeCell ref="L84:L85"/>
    <mergeCell ref="S84:S85"/>
    <mergeCell ref="T84:T85"/>
    <mergeCell ref="V84:V85"/>
    <mergeCell ref="W84:W85"/>
    <mergeCell ref="Z84:Z85"/>
    <mergeCell ref="AA84:AA85"/>
    <mergeCell ref="AD84:AD85"/>
    <mergeCell ref="AE84:AE85"/>
    <mergeCell ref="AF84:AF85"/>
    <mergeCell ref="AG84:AH85"/>
    <mergeCell ref="AI84:AJ85"/>
    <mergeCell ref="K82:K83"/>
    <mergeCell ref="L82:L83"/>
    <mergeCell ref="S82:S83"/>
    <mergeCell ref="T82:T83"/>
    <mergeCell ref="V82:V83"/>
    <mergeCell ref="Z82:Z83"/>
    <mergeCell ref="AA82:AA83"/>
    <mergeCell ref="AD82:AD83"/>
    <mergeCell ref="B82:B85"/>
    <mergeCell ref="C82:C85"/>
    <mergeCell ref="D82:D85"/>
    <mergeCell ref="E82:E85"/>
    <mergeCell ref="F82:F85"/>
    <mergeCell ref="G82:G85"/>
    <mergeCell ref="H82:H83"/>
    <mergeCell ref="I82:I83"/>
    <mergeCell ref="J82:J83"/>
    <mergeCell ref="B2:AJ2"/>
    <mergeCell ref="B6:AJ6"/>
    <mergeCell ref="B27:AJ27"/>
    <mergeCell ref="B3:AJ3"/>
    <mergeCell ref="AE32:AE33"/>
    <mergeCell ref="AF32:AF33"/>
    <mergeCell ref="AG32:AH33"/>
    <mergeCell ref="AI32:AJ33"/>
    <mergeCell ref="V32:V33"/>
    <mergeCell ref="Z32:Z33"/>
    <mergeCell ref="AA32:AA33"/>
    <mergeCell ref="AD32:AD33"/>
    <mergeCell ref="S30:S31"/>
    <mergeCell ref="AF28:AF29"/>
    <mergeCell ref="S28:S29"/>
    <mergeCell ref="V30:V31"/>
    <mergeCell ref="Z30:Z31"/>
    <mergeCell ref="AA30:AA31"/>
    <mergeCell ref="AD30:AD31"/>
    <mergeCell ref="H30:H31"/>
    <mergeCell ref="I30:I31"/>
    <mergeCell ref="J30:J31"/>
    <mergeCell ref="T7:T8"/>
    <mergeCell ref="T9:T10"/>
    <mergeCell ref="AG78:AH79"/>
    <mergeCell ref="AI78:AJ79"/>
    <mergeCell ref="V28:V29"/>
    <mergeCell ref="W28:W29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K32:K33"/>
    <mergeCell ref="L32:L33"/>
    <mergeCell ref="S32:S33"/>
    <mergeCell ref="Z78:Z79"/>
    <mergeCell ref="AA78:AA79"/>
    <mergeCell ref="AD78:AD79"/>
    <mergeCell ref="AE78:AE79"/>
    <mergeCell ref="AF78:AF79"/>
    <mergeCell ref="L78:L79"/>
    <mergeCell ref="S78:S79"/>
    <mergeCell ref="T78:T79"/>
    <mergeCell ref="V78:V79"/>
    <mergeCell ref="G78:G79"/>
    <mergeCell ref="H78:H79"/>
    <mergeCell ref="I78:I79"/>
    <mergeCell ref="J78:J79"/>
    <mergeCell ref="K78:K79"/>
    <mergeCell ref="B78:B79"/>
    <mergeCell ref="C78:C79"/>
    <mergeCell ref="D78:D79"/>
    <mergeCell ref="E78:E79"/>
    <mergeCell ref="F78:F79"/>
    <mergeCell ref="AA59:AA60"/>
    <mergeCell ref="AD59:AD60"/>
    <mergeCell ref="AE59:AE60"/>
    <mergeCell ref="AF59:AF60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V59:V60"/>
    <mergeCell ref="W59:W60"/>
    <mergeCell ref="Z59:Z60"/>
    <mergeCell ref="T59:T60"/>
    <mergeCell ref="AG30:AH31"/>
    <mergeCell ref="AI30:AJ31"/>
    <mergeCell ref="B28:B31"/>
    <mergeCell ref="C28:C31"/>
    <mergeCell ref="D28:D31"/>
    <mergeCell ref="E28:E31"/>
    <mergeCell ref="F28:F31"/>
    <mergeCell ref="G28:G31"/>
    <mergeCell ref="Z28:Z29"/>
    <mergeCell ref="AA28:AA29"/>
    <mergeCell ref="T28:T29"/>
    <mergeCell ref="T30:T31"/>
    <mergeCell ref="AE28:AE29"/>
    <mergeCell ref="AG28:AH29"/>
    <mergeCell ref="AI28:AJ29"/>
    <mergeCell ref="AE30:AE31"/>
    <mergeCell ref="AF30:AF31"/>
    <mergeCell ref="H57:H58"/>
    <mergeCell ref="I57:I58"/>
    <mergeCell ref="J57:J58"/>
    <mergeCell ref="K57:K58"/>
    <mergeCell ref="Z9:Z10"/>
    <mergeCell ref="AA9:AA10"/>
    <mergeCell ref="AD9:AD10"/>
    <mergeCell ref="T57:T58"/>
    <mergeCell ref="AD28:AD29"/>
    <mergeCell ref="K30:K31"/>
    <mergeCell ref="L30:L31"/>
    <mergeCell ref="H28:H29"/>
    <mergeCell ref="I28:I29"/>
    <mergeCell ref="J28:J29"/>
    <mergeCell ref="K28:K29"/>
    <mergeCell ref="L28:L29"/>
    <mergeCell ref="T32:T33"/>
    <mergeCell ref="B56:AJ56"/>
    <mergeCell ref="V9:V10"/>
    <mergeCell ref="W9:W10"/>
    <mergeCell ref="AI57:AJ58"/>
    <mergeCell ref="L57:L58"/>
    <mergeCell ref="V11:V12"/>
    <mergeCell ref="Z11:Z12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AA11:AA12"/>
    <mergeCell ref="AD11:AD12"/>
    <mergeCell ref="AE11:AE12"/>
    <mergeCell ref="AF11:AF12"/>
    <mergeCell ref="AG11:AH12"/>
    <mergeCell ref="AI11:AJ12"/>
    <mergeCell ref="AE13:AE14"/>
    <mergeCell ref="AF13:AF14"/>
    <mergeCell ref="AG13:AH14"/>
    <mergeCell ref="AI13:AJ14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B80:B81"/>
    <mergeCell ref="C80:C81"/>
    <mergeCell ref="D80:D81"/>
    <mergeCell ref="E80:E81"/>
    <mergeCell ref="F80:F81"/>
    <mergeCell ref="G80:G81"/>
    <mergeCell ref="H80:H81"/>
    <mergeCell ref="I80:I81"/>
    <mergeCell ref="J80:J81"/>
    <mergeCell ref="AE80:AE81"/>
    <mergeCell ref="AF80:AF81"/>
    <mergeCell ref="AG80:AH81"/>
    <mergeCell ref="AI80:AJ81"/>
    <mergeCell ref="K80:K81"/>
    <mergeCell ref="L80:L81"/>
    <mergeCell ref="S80:S81"/>
    <mergeCell ref="T80:T81"/>
    <mergeCell ref="V80:V81"/>
    <mergeCell ref="Z80:Z81"/>
    <mergeCell ref="AA80:AA81"/>
    <mergeCell ref="AD80:AD81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V38:V39"/>
    <mergeCell ref="Z38:Z39"/>
    <mergeCell ref="AA38:AA39"/>
    <mergeCell ref="AD38:AD39"/>
    <mergeCell ref="B38:B41"/>
    <mergeCell ref="C38:C41"/>
    <mergeCell ref="D38:D41"/>
    <mergeCell ref="E38:E41"/>
    <mergeCell ref="F38:F41"/>
    <mergeCell ref="G38:G41"/>
    <mergeCell ref="H38:H39"/>
    <mergeCell ref="I38:I39"/>
    <mergeCell ref="J38:J39"/>
    <mergeCell ref="AE38:AE39"/>
    <mergeCell ref="AF38:AF39"/>
    <mergeCell ref="AG38:AH39"/>
    <mergeCell ref="AI38:AJ39"/>
    <mergeCell ref="H40:H41"/>
    <mergeCell ref="I40:I41"/>
    <mergeCell ref="J40:J41"/>
    <mergeCell ref="K40:K41"/>
    <mergeCell ref="L40:L41"/>
    <mergeCell ref="S40:S41"/>
    <mergeCell ref="T40:T41"/>
    <mergeCell ref="V40:V41"/>
    <mergeCell ref="W40:W41"/>
    <mergeCell ref="Z40:Z41"/>
    <mergeCell ref="AA40:AA41"/>
    <mergeCell ref="AD40:AD41"/>
    <mergeCell ref="AE40:AE41"/>
    <mergeCell ref="AF40:AF41"/>
    <mergeCell ref="AG40:AH41"/>
    <mergeCell ref="AI40:AJ41"/>
    <mergeCell ref="K38:K39"/>
    <mergeCell ref="L38:L39"/>
    <mergeCell ref="S38:S39"/>
    <mergeCell ref="T38:T39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K11:K12"/>
    <mergeCell ref="L11:L12"/>
    <mergeCell ref="S11:S12"/>
    <mergeCell ref="T11:T12"/>
    <mergeCell ref="V86:V87"/>
    <mergeCell ref="Z86:Z87"/>
    <mergeCell ref="AA86:AA87"/>
    <mergeCell ref="AD86:AD87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V34:V35"/>
    <mergeCell ref="W34:W35"/>
    <mergeCell ref="Z34:Z35"/>
    <mergeCell ref="AA34:AA35"/>
    <mergeCell ref="AD34:AD35"/>
    <mergeCell ref="B34:B37"/>
    <mergeCell ref="C34:C37"/>
    <mergeCell ref="AE86:AE87"/>
    <mergeCell ref="AF86:AF87"/>
    <mergeCell ref="AG86:AH87"/>
    <mergeCell ref="AI86:AJ87"/>
    <mergeCell ref="H88:H89"/>
    <mergeCell ref="I88:I89"/>
    <mergeCell ref="J88:J89"/>
    <mergeCell ref="K88:K89"/>
    <mergeCell ref="L88:L89"/>
    <mergeCell ref="S88:S89"/>
    <mergeCell ref="T88:T89"/>
    <mergeCell ref="V88:V89"/>
    <mergeCell ref="W88:W89"/>
    <mergeCell ref="Z88:Z89"/>
    <mergeCell ref="AA88:AA89"/>
    <mergeCell ref="AD88:AD89"/>
    <mergeCell ref="AE88:AE89"/>
    <mergeCell ref="AF88:AF89"/>
    <mergeCell ref="AG88:AH89"/>
    <mergeCell ref="AI88:AJ89"/>
    <mergeCell ref="K86:K87"/>
    <mergeCell ref="L86:L87"/>
    <mergeCell ref="S86:S87"/>
    <mergeCell ref="T86:T87"/>
    <mergeCell ref="D34:D37"/>
    <mergeCell ref="E34:E37"/>
    <mergeCell ref="F34:F37"/>
    <mergeCell ref="G34:G37"/>
    <mergeCell ref="H34:H35"/>
    <mergeCell ref="I34:I35"/>
    <mergeCell ref="J34:J35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S34:S35"/>
    <mergeCell ref="T34:T35"/>
    <mergeCell ref="H96:H97"/>
    <mergeCell ref="I96:I97"/>
    <mergeCell ref="J96:J97"/>
    <mergeCell ref="B94:B99"/>
    <mergeCell ref="C94:C99"/>
    <mergeCell ref="D94:D99"/>
    <mergeCell ref="E94:E99"/>
    <mergeCell ref="F94:F99"/>
    <mergeCell ref="G94:G99"/>
    <mergeCell ref="H94:H95"/>
    <mergeCell ref="I94:I95"/>
    <mergeCell ref="J94:J95"/>
    <mergeCell ref="AG96:AH97"/>
    <mergeCell ref="AI96:AJ97"/>
    <mergeCell ref="H98:H99"/>
    <mergeCell ref="I98:I99"/>
    <mergeCell ref="J98:J99"/>
    <mergeCell ref="K98:K99"/>
    <mergeCell ref="L98:L99"/>
    <mergeCell ref="S98:S99"/>
    <mergeCell ref="T98:T99"/>
    <mergeCell ref="V98:V99"/>
    <mergeCell ref="Z98:Z99"/>
    <mergeCell ref="AA98:AA99"/>
    <mergeCell ref="AD98:AD99"/>
    <mergeCell ref="AE98:AE99"/>
    <mergeCell ref="AF98:AF99"/>
    <mergeCell ref="AG98:AH99"/>
    <mergeCell ref="AI98:AJ99"/>
    <mergeCell ref="K96:K97"/>
    <mergeCell ref="L96:L97"/>
    <mergeCell ref="S96:S97"/>
    <mergeCell ref="T96:T97"/>
    <mergeCell ref="V96:V97"/>
    <mergeCell ref="Z96:Z97"/>
    <mergeCell ref="AA96:AA97"/>
    <mergeCell ref="V15:V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V19:V20"/>
    <mergeCell ref="W19:W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19:AE20"/>
    <mergeCell ref="AF19:AF20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AG23:AH24"/>
    <mergeCell ref="AI23:AJ24"/>
    <mergeCell ref="H25:H26"/>
    <mergeCell ref="I25:I26"/>
    <mergeCell ref="J25:J26"/>
    <mergeCell ref="K25:K26"/>
    <mergeCell ref="L25:L26"/>
    <mergeCell ref="S25:S26"/>
    <mergeCell ref="T25:T26"/>
    <mergeCell ref="V25:V26"/>
    <mergeCell ref="W25:W26"/>
    <mergeCell ref="Z25:Z26"/>
    <mergeCell ref="AA25:AA26"/>
    <mergeCell ref="AD25:AD26"/>
    <mergeCell ref="AE25:AE26"/>
    <mergeCell ref="AF25:AF26"/>
    <mergeCell ref="AG25:AH26"/>
    <mergeCell ref="AI25:AJ26"/>
    <mergeCell ref="K23:K24"/>
    <mergeCell ref="L23:L24"/>
    <mergeCell ref="S23:S24"/>
    <mergeCell ref="T23:T24"/>
    <mergeCell ref="V23:V24"/>
    <mergeCell ref="W23:W24"/>
    <mergeCell ref="B100:B103"/>
    <mergeCell ref="C100:C103"/>
    <mergeCell ref="D100:D103"/>
    <mergeCell ref="E100:E103"/>
    <mergeCell ref="F100:F103"/>
    <mergeCell ref="H100:H101"/>
    <mergeCell ref="I100:I101"/>
    <mergeCell ref="AE23:AE24"/>
    <mergeCell ref="AF23:AF24"/>
    <mergeCell ref="Z23:Z24"/>
    <mergeCell ref="AA23:AA24"/>
    <mergeCell ref="AD23:AD24"/>
    <mergeCell ref="B23:B26"/>
    <mergeCell ref="C23:C26"/>
    <mergeCell ref="D23:D26"/>
    <mergeCell ref="E23:E26"/>
    <mergeCell ref="F23:F26"/>
    <mergeCell ref="G23:G26"/>
    <mergeCell ref="H23:H24"/>
    <mergeCell ref="I23:I24"/>
    <mergeCell ref="J23:J24"/>
    <mergeCell ref="AE96:AE97"/>
    <mergeCell ref="AF96:AF97"/>
    <mergeCell ref="AD96:AD97"/>
    <mergeCell ref="G100:G103"/>
    <mergeCell ref="L100:L101"/>
    <mergeCell ref="T100:T101"/>
    <mergeCell ref="W100:W101"/>
    <mergeCell ref="J100:J101"/>
    <mergeCell ref="K100:K101"/>
    <mergeCell ref="S100:S101"/>
    <mergeCell ref="V100:V101"/>
    <mergeCell ref="Z100:Z101"/>
    <mergeCell ref="H102:H103"/>
    <mergeCell ref="I102:I103"/>
    <mergeCell ref="J102:J103"/>
    <mergeCell ref="K102:K103"/>
    <mergeCell ref="S102:S103"/>
    <mergeCell ref="V102:V103"/>
    <mergeCell ref="Z102:Z103"/>
    <mergeCell ref="AD102:AD103"/>
    <mergeCell ref="AE102:AE103"/>
    <mergeCell ref="AF100:AF101"/>
    <mergeCell ref="AG100:AH101"/>
    <mergeCell ref="AI100:AJ101"/>
    <mergeCell ref="L102:L103"/>
    <mergeCell ref="T102:T103"/>
    <mergeCell ref="W102:W103"/>
    <mergeCell ref="AA102:AA103"/>
    <mergeCell ref="AF102:AF103"/>
    <mergeCell ref="AG102:AH103"/>
    <mergeCell ref="AI102:AJ103"/>
    <mergeCell ref="AD100:AD101"/>
    <mergeCell ref="AE100:AE101"/>
    <mergeCell ref="AA100:AA101"/>
    <mergeCell ref="B77:AJ77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S42:S43"/>
    <mergeCell ref="T42:T43"/>
    <mergeCell ref="V42:V43"/>
    <mergeCell ref="Z42:Z43"/>
    <mergeCell ref="AA42:AA43"/>
    <mergeCell ref="AD42:AD43"/>
    <mergeCell ref="AE42:AE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AF42:AF43"/>
    <mergeCell ref="AG42:AH43"/>
    <mergeCell ref="AI42:AJ43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42:K43"/>
    <mergeCell ref="L42:L43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Z52:Z53"/>
    <mergeCell ref="AA52:AA53"/>
    <mergeCell ref="AD52:AD53"/>
    <mergeCell ref="AE52:AE53"/>
    <mergeCell ref="B52:B55"/>
    <mergeCell ref="C52:C55"/>
    <mergeCell ref="D52:D55"/>
    <mergeCell ref="E52:E55"/>
    <mergeCell ref="F52:F55"/>
    <mergeCell ref="G52:G55"/>
    <mergeCell ref="H52:H53"/>
    <mergeCell ref="I52:I53"/>
    <mergeCell ref="J52:J53"/>
    <mergeCell ref="AF52:AF53"/>
    <mergeCell ref="AG52:AH53"/>
    <mergeCell ref="AI52:AJ53"/>
    <mergeCell ref="H54:H55"/>
    <mergeCell ref="I54:I55"/>
    <mergeCell ref="J54:J55"/>
    <mergeCell ref="K54:K55"/>
    <mergeCell ref="L54:L55"/>
    <mergeCell ref="S54:S55"/>
    <mergeCell ref="T54:T55"/>
    <mergeCell ref="V54:V55"/>
    <mergeCell ref="W54:W55"/>
    <mergeCell ref="Z54:Z55"/>
    <mergeCell ref="AA54:AA55"/>
    <mergeCell ref="AD54:AD55"/>
    <mergeCell ref="AE54:AE55"/>
    <mergeCell ref="AF54:AF55"/>
    <mergeCell ref="AG54:AH55"/>
    <mergeCell ref="AI54:AJ55"/>
    <mergeCell ref="K52:K53"/>
    <mergeCell ref="L52:L53"/>
    <mergeCell ref="S52:S53"/>
    <mergeCell ref="T52:T53"/>
    <mergeCell ref="V52:V53"/>
    <mergeCell ref="V104:V105"/>
    <mergeCell ref="Z104:Z105"/>
    <mergeCell ref="AA104:AA105"/>
    <mergeCell ref="AD104:AD105"/>
    <mergeCell ref="B104:B107"/>
    <mergeCell ref="C104:C107"/>
    <mergeCell ref="D104:D107"/>
    <mergeCell ref="E104:E107"/>
    <mergeCell ref="F104:F107"/>
    <mergeCell ref="G104:G107"/>
    <mergeCell ref="H104:H105"/>
    <mergeCell ref="I104:I105"/>
    <mergeCell ref="J104:J105"/>
    <mergeCell ref="AE104:AE105"/>
    <mergeCell ref="AF104:AF105"/>
    <mergeCell ref="AG104:AH105"/>
    <mergeCell ref="AI104:AJ105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W106:W107"/>
    <mergeCell ref="Z106:Z107"/>
    <mergeCell ref="AA106:AA107"/>
    <mergeCell ref="AD106:AD107"/>
    <mergeCell ref="AE106:AE107"/>
    <mergeCell ref="AF106:AF107"/>
    <mergeCell ref="AG106:AH107"/>
    <mergeCell ref="AI106:AJ107"/>
    <mergeCell ref="K104:K105"/>
    <mergeCell ref="L104:L105"/>
    <mergeCell ref="S104:S105"/>
    <mergeCell ref="T104:T105"/>
    <mergeCell ref="K94:K95"/>
    <mergeCell ref="L94:L95"/>
    <mergeCell ref="Z94:Z95"/>
    <mergeCell ref="AA94:AA95"/>
    <mergeCell ref="AD94:AD95"/>
    <mergeCell ref="AE94:AE95"/>
    <mergeCell ref="AF94:AF95"/>
    <mergeCell ref="AG94:AH95"/>
    <mergeCell ref="AI94:AJ95"/>
    <mergeCell ref="V94:V95"/>
    <mergeCell ref="S94:S95"/>
    <mergeCell ref="T94:T95"/>
  </mergeCells>
  <phoneticPr fontId="2" type="noConversion"/>
  <conditionalFormatting sqref="O1 O4:O5 O28:O55">
    <cfRule type="cellIs" dxfId="53" priority="125" operator="equal">
      <formula>"미달"</formula>
    </cfRule>
  </conditionalFormatting>
  <conditionalFormatting sqref="O7:O26">
    <cfRule type="cellIs" dxfId="52" priority="29" operator="equal">
      <formula>"미달"</formula>
    </cfRule>
  </conditionalFormatting>
  <conditionalFormatting sqref="O57:O65 O67">
    <cfRule type="cellIs" dxfId="51" priority="94" operator="equal">
      <formula>"미달"</formula>
    </cfRule>
  </conditionalFormatting>
  <conditionalFormatting sqref="O69">
    <cfRule type="cellIs" dxfId="50" priority="15" operator="equal">
      <formula>"미달"</formula>
    </cfRule>
  </conditionalFormatting>
  <conditionalFormatting sqref="O71:O75">
    <cfRule type="cellIs" dxfId="49" priority="8" operator="equal">
      <formula>"미달"</formula>
    </cfRule>
  </conditionalFormatting>
  <conditionalFormatting sqref="O78:O1048576">
    <cfRule type="cellIs" dxfId="48" priority="21" operator="equal">
      <formula>"미달"</formula>
    </cfRule>
  </conditionalFormatting>
  <conditionalFormatting sqref="U7:U26 U28:U55">
    <cfRule type="containsText" dxfId="47" priority="28" operator="containsText" text="미달">
      <formula>NOT(ISERROR(SEARCH("미달",U7)))</formula>
    </cfRule>
  </conditionalFormatting>
  <conditionalFormatting sqref="U57:U76">
    <cfRule type="containsText" dxfId="46" priority="89" operator="containsText" text="미달">
      <formula>NOT(ISERROR(SEARCH("미달",U57)))</formula>
    </cfRule>
  </conditionalFormatting>
  <conditionalFormatting sqref="U78:U107">
    <cfRule type="containsText" dxfId="45" priority="20" operator="containsText" text="미달">
      <formula>NOT(ISERROR(SEARCH("미달",U78)))</formula>
    </cfRule>
  </conditionalFormatting>
  <conditionalFormatting sqref="Y7:Y26 Y28:Y55">
    <cfRule type="containsText" dxfId="44" priority="27" operator="containsText" text="미달">
      <formula>NOT(ISERROR(SEARCH("미달",Y7)))</formula>
    </cfRule>
  </conditionalFormatting>
  <conditionalFormatting sqref="Y57:Y76">
    <cfRule type="containsText" dxfId="43" priority="11" operator="containsText" text="미달">
      <formula>NOT(ISERROR(SEARCH("미달",Y57)))</formula>
    </cfRule>
  </conditionalFormatting>
  <conditionalFormatting sqref="Y78:Y107">
    <cfRule type="containsText" dxfId="42" priority="19" operator="containsText" text="미달">
      <formula>NOT(ISERROR(SEARCH("미달",Y78)))</formula>
    </cfRule>
  </conditionalFormatting>
  <conditionalFormatting sqref="AC8">
    <cfRule type="containsText" dxfId="41" priority="120" operator="containsText" text="미달">
      <formula>NOT(ISERROR(SEARCH("미달",AC8)))</formula>
    </cfRule>
  </conditionalFormatting>
  <conditionalFormatting sqref="AC10">
    <cfRule type="containsText" dxfId="40" priority="98" operator="containsText" text="미달">
      <formula>NOT(ISERROR(SEARCH("미달",AC10)))</formula>
    </cfRule>
  </conditionalFormatting>
  <conditionalFormatting sqref="AC12">
    <cfRule type="containsText" dxfId="39" priority="74" operator="containsText" text="미달">
      <formula>NOT(ISERROR(SEARCH("미달",AC12)))</formula>
    </cfRule>
  </conditionalFormatting>
  <conditionalFormatting sqref="AC14">
    <cfRule type="containsText" dxfId="38" priority="77" operator="containsText" text="미달">
      <formula>NOT(ISERROR(SEARCH("미달",AC14)))</formula>
    </cfRule>
  </conditionalFormatting>
  <conditionalFormatting sqref="AC16">
    <cfRule type="containsText" dxfId="37" priority="45" operator="containsText" text="미달">
      <formula>NOT(ISERROR(SEARCH("미달",AC16)))</formula>
    </cfRule>
  </conditionalFormatting>
  <conditionalFormatting sqref="AC18">
    <cfRule type="containsText" dxfId="36" priority="48" operator="containsText" text="미달">
      <formula>NOT(ISERROR(SEARCH("미달",AC18)))</formula>
    </cfRule>
  </conditionalFormatting>
  <conditionalFormatting sqref="AC20">
    <cfRule type="containsText" dxfId="35" priority="23" operator="containsText" text="미달">
      <formula>NOT(ISERROR(SEARCH("미달",AC20)))</formula>
    </cfRule>
  </conditionalFormatting>
  <conditionalFormatting sqref="AC22 AC26">
    <cfRule type="containsText" dxfId="34" priority="25" operator="containsText" text="미달">
      <formula>NOT(ISERROR(SEARCH("미달",AC22)))</formula>
    </cfRule>
  </conditionalFormatting>
  <conditionalFormatting sqref="AC24">
    <cfRule type="containsText" dxfId="33" priority="22" operator="containsText" text="미달">
      <formula>NOT(ISERROR(SEARCH("미달",AC24)))</formula>
    </cfRule>
  </conditionalFormatting>
  <conditionalFormatting sqref="AC29">
    <cfRule type="containsText" dxfId="32" priority="97" operator="containsText" text="미달">
      <formula>NOT(ISERROR(SEARCH("미달",AC29)))</formula>
    </cfRule>
  </conditionalFormatting>
  <conditionalFormatting sqref="AC31">
    <cfRule type="containsText" dxfId="31" priority="96" operator="containsText" text="미달">
      <formula>NOT(ISERROR(SEARCH("미달",AC31)))</formula>
    </cfRule>
  </conditionalFormatting>
  <conditionalFormatting sqref="AC33">
    <cfRule type="containsText" dxfId="30" priority="95" operator="containsText" text="미달">
      <formula>NOT(ISERROR(SEARCH("미달",AC33)))</formula>
    </cfRule>
  </conditionalFormatting>
  <conditionalFormatting sqref="AC35">
    <cfRule type="containsText" dxfId="29" priority="62" operator="containsText" text="미달">
      <formula>NOT(ISERROR(SEARCH("미달",AC35)))</formula>
    </cfRule>
  </conditionalFormatting>
  <conditionalFormatting sqref="AC37">
    <cfRule type="containsText" dxfId="28" priority="63" operator="containsText" text="미달">
      <formula>NOT(ISERROR(SEARCH("미달",AC37)))</formula>
    </cfRule>
  </conditionalFormatting>
  <conditionalFormatting sqref="AC39">
    <cfRule type="containsText" dxfId="27" priority="82" operator="containsText" text="미달">
      <formula>NOT(ISERROR(SEARCH("미달",AC39)))</formula>
    </cfRule>
  </conditionalFormatting>
  <conditionalFormatting sqref="AC41">
    <cfRule type="containsText" dxfId="26" priority="83" operator="containsText" text="미달">
      <formula>NOT(ISERROR(SEARCH("미달",AC41)))</formula>
    </cfRule>
  </conditionalFormatting>
  <conditionalFormatting sqref="AC43">
    <cfRule type="containsText" dxfId="25" priority="12" operator="containsText" text="미달">
      <formula>NOT(ISERROR(SEARCH("미달",AC43)))</formula>
    </cfRule>
  </conditionalFormatting>
  <conditionalFormatting sqref="AC45">
    <cfRule type="containsText" dxfId="24" priority="6" operator="containsText" text="미달">
      <formula>NOT(ISERROR(SEARCH("미달",AC45)))</formula>
    </cfRule>
  </conditionalFormatting>
  <conditionalFormatting sqref="AC47 AC51 AC55">
    <cfRule type="containsText" dxfId="23" priority="5" operator="containsText" text="미달">
      <formula>NOT(ISERROR(SEARCH("미달",AC47)))</formula>
    </cfRule>
  </conditionalFormatting>
  <conditionalFormatting sqref="AC49">
    <cfRule type="containsText" dxfId="22" priority="4" operator="containsText" text="미달">
      <formula>NOT(ISERROR(SEARCH("미달",AC49)))</formula>
    </cfRule>
  </conditionalFormatting>
  <conditionalFormatting sqref="AC53">
    <cfRule type="containsText" dxfId="21" priority="3" operator="containsText" text="미달">
      <formula>NOT(ISERROR(SEARCH("미달",AC53)))</formula>
    </cfRule>
  </conditionalFormatting>
  <conditionalFormatting sqref="AC58">
    <cfRule type="containsText" dxfId="20" priority="112" operator="containsText" text="미달">
      <formula>NOT(ISERROR(SEARCH("미달",AC58)))</formula>
    </cfRule>
  </conditionalFormatting>
  <conditionalFormatting sqref="AC60">
    <cfRule type="containsText" dxfId="19" priority="114" operator="containsText" text="미달">
      <formula>NOT(ISERROR(SEARCH("미달",AC60)))</formula>
    </cfRule>
  </conditionalFormatting>
  <conditionalFormatting sqref="AC62">
    <cfRule type="containsText" dxfId="18" priority="88" operator="containsText" text="미달">
      <formula>NOT(ISERROR(SEARCH("미달",AC62)))</formula>
    </cfRule>
  </conditionalFormatting>
  <conditionalFormatting sqref="AC64 AC68 AC72 AC76">
    <cfRule type="containsText" dxfId="17" priority="90" operator="containsText" text="미달">
      <formula>NOT(ISERROR(SEARCH("미달",AC64)))</formula>
    </cfRule>
  </conditionalFormatting>
  <conditionalFormatting sqref="AC66">
    <cfRule type="containsText" dxfId="16" priority="16" operator="containsText" text="미달">
      <formula>NOT(ISERROR(SEARCH("미달",AC66)))</formula>
    </cfRule>
  </conditionalFormatting>
  <conditionalFormatting sqref="AC70">
    <cfRule type="containsText" dxfId="15" priority="14" operator="containsText" text="미달">
      <formula>NOT(ISERROR(SEARCH("미달",AC70)))</formula>
    </cfRule>
  </conditionalFormatting>
  <conditionalFormatting sqref="AC74">
    <cfRule type="containsText" dxfId="14" priority="9" operator="containsText" text="미달">
      <formula>NOT(ISERROR(SEARCH("미달",AC74)))</formula>
    </cfRule>
  </conditionalFormatting>
  <conditionalFormatting sqref="AC79">
    <cfRule type="containsText" dxfId="13" priority="106" operator="containsText" text="미달">
      <formula>NOT(ISERROR(SEARCH("미달",AC79)))</formula>
    </cfRule>
  </conditionalFormatting>
  <conditionalFormatting sqref="AC81">
    <cfRule type="containsText" dxfId="12" priority="38" operator="containsText" text="미달">
      <formula>NOT(ISERROR(SEARCH("미달",AC81)))</formula>
    </cfRule>
  </conditionalFormatting>
  <conditionalFormatting sqref="AC83">
    <cfRule type="containsText" dxfId="11" priority="39" operator="containsText" text="미달">
      <formula>NOT(ISERROR(SEARCH("미달",AC83)))</formula>
    </cfRule>
  </conditionalFormatting>
  <conditionalFormatting sqref="AC85">
    <cfRule type="containsText" dxfId="10" priority="40" operator="containsText" text="미달">
      <formula>NOT(ISERROR(SEARCH("미달",AC85)))</formula>
    </cfRule>
  </conditionalFormatting>
  <conditionalFormatting sqref="AC87">
    <cfRule type="containsText" dxfId="9" priority="70" operator="containsText" text="미달">
      <formula>NOT(ISERROR(SEARCH("미달",AC87)))</formula>
    </cfRule>
  </conditionalFormatting>
  <conditionalFormatting sqref="AC89">
    <cfRule type="containsText" dxfId="8" priority="32" operator="containsText" text="미달">
      <formula>NOT(ISERROR(SEARCH("미달",AC89)))</formula>
    </cfRule>
  </conditionalFormatting>
  <conditionalFormatting sqref="AC91">
    <cfRule type="containsText" dxfId="7" priority="31" operator="containsText" text="미달">
      <formula>NOT(ISERROR(SEARCH("미달",AC91)))</formula>
    </cfRule>
  </conditionalFormatting>
  <conditionalFormatting sqref="AC93 AC95">
    <cfRule type="containsText" dxfId="6" priority="30" operator="containsText" text="미달">
      <formula>NOT(ISERROR(SEARCH("미달",AC93)))</formula>
    </cfRule>
  </conditionalFormatting>
  <conditionalFormatting sqref="AC97">
    <cfRule type="containsText" dxfId="5" priority="54" operator="containsText" text="미달">
      <formula>NOT(ISERROR(SEARCH("미달",AC97)))</formula>
    </cfRule>
  </conditionalFormatting>
  <conditionalFormatting sqref="AC99">
    <cfRule type="containsText" dxfId="4" priority="53" operator="containsText" text="미달">
      <formula>NOT(ISERROR(SEARCH("미달",AC99)))</formula>
    </cfRule>
  </conditionalFormatting>
  <conditionalFormatting sqref="AC101">
    <cfRule type="containsText" dxfId="3" priority="18" operator="containsText" text="미달">
      <formula>NOT(ISERROR(SEARCH("미달",AC101)))</formula>
    </cfRule>
  </conditionalFormatting>
  <conditionalFormatting sqref="AC103">
    <cfRule type="containsText" dxfId="2" priority="17" operator="containsText" text="미달">
      <formula>NOT(ISERROR(SEARCH("미달",AC103)))</formula>
    </cfRule>
  </conditionalFormatting>
  <conditionalFormatting sqref="AC105">
    <cfRule type="containsText" dxfId="1" priority="2" operator="containsText" text="미달">
      <formula>NOT(ISERROR(SEARCH("미달",AC105)))</formula>
    </cfRule>
  </conditionalFormatting>
  <conditionalFormatting sqref="AC107">
    <cfRule type="containsText" dxfId="0" priority="1" operator="containsText" text="미달">
      <formula>NOT(ISERROR(SEARCH("미달",AC107)))</formula>
    </cfRule>
  </conditionalFormatting>
  <dataValidations count="1">
    <dataValidation type="list" allowBlank="1" showInputMessage="1" showErrorMessage="1" sqref="F7 F57 F59 F78 F32 F80 F61 F38 F11 F86 F34 F94 F15 F82 F19 F23 F100 F65 F69 F42 F73 F44 F48 F52 F28 F104 F90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5"/>
  <sheetViews>
    <sheetView topLeftCell="A2" workbookViewId="0">
      <selection activeCell="C31" sqref="C31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58</v>
      </c>
      <c r="B1" s="53" t="s">
        <v>59</v>
      </c>
      <c r="C1" s="54" t="s">
        <v>60</v>
      </c>
    </row>
    <row r="2" spans="1:3" x14ac:dyDescent="0.3">
      <c r="A2" s="50" t="s">
        <v>11</v>
      </c>
      <c r="B2" s="49" t="s">
        <v>12</v>
      </c>
      <c r="C2" s="51" t="s">
        <v>61</v>
      </c>
    </row>
    <row r="3" spans="1:3" x14ac:dyDescent="0.3">
      <c r="A3" s="50" t="s">
        <v>62</v>
      </c>
      <c r="B3" s="49" t="s">
        <v>63</v>
      </c>
      <c r="C3" s="51" t="s">
        <v>61</v>
      </c>
    </row>
    <row r="4" spans="1:3" x14ac:dyDescent="0.3">
      <c r="A4" s="50" t="s">
        <v>49</v>
      </c>
      <c r="B4" s="49" t="s">
        <v>64</v>
      </c>
      <c r="C4" s="51" t="s">
        <v>61</v>
      </c>
    </row>
    <row r="5" spans="1:3" x14ac:dyDescent="0.3">
      <c r="A5" s="50" t="s">
        <v>65</v>
      </c>
      <c r="B5" s="49" t="s">
        <v>66</v>
      </c>
      <c r="C5" s="51" t="s">
        <v>61</v>
      </c>
    </row>
    <row r="6" spans="1:3" x14ac:dyDescent="0.3">
      <c r="A6" s="50" t="s">
        <v>35</v>
      </c>
      <c r="B6" s="49" t="s">
        <v>36</v>
      </c>
      <c r="C6" s="51" t="s">
        <v>67</v>
      </c>
    </row>
    <row r="7" spans="1:3" x14ac:dyDescent="0.3">
      <c r="A7" s="50" t="s">
        <v>54</v>
      </c>
      <c r="B7" s="49" t="s">
        <v>55</v>
      </c>
      <c r="C7" s="51" t="s">
        <v>67</v>
      </c>
    </row>
    <row r="8" spans="1:3" x14ac:dyDescent="0.3">
      <c r="A8" s="50" t="s">
        <v>68</v>
      </c>
      <c r="B8" s="49" t="s">
        <v>69</v>
      </c>
      <c r="C8" s="51" t="s">
        <v>67</v>
      </c>
    </row>
    <row r="9" spans="1:3" x14ac:dyDescent="0.3">
      <c r="A9" s="50" t="s">
        <v>65</v>
      </c>
      <c r="B9" s="49" t="s">
        <v>70</v>
      </c>
      <c r="C9" s="51" t="s">
        <v>67</v>
      </c>
    </row>
    <row r="10" spans="1:3" x14ac:dyDescent="0.3">
      <c r="A10" s="50" t="s">
        <v>49</v>
      </c>
      <c r="B10" s="49" t="s">
        <v>71</v>
      </c>
      <c r="C10" s="51" t="s">
        <v>67</v>
      </c>
    </row>
    <row r="11" spans="1:3" x14ac:dyDescent="0.3">
      <c r="A11" s="50" t="s">
        <v>62</v>
      </c>
      <c r="B11" s="49" t="s">
        <v>72</v>
      </c>
      <c r="C11" s="51" t="s">
        <v>67</v>
      </c>
    </row>
    <row r="12" spans="1:3" x14ac:dyDescent="0.3">
      <c r="A12" s="50" t="s">
        <v>11</v>
      </c>
      <c r="B12" s="49" t="s">
        <v>73</v>
      </c>
      <c r="C12" s="51" t="s">
        <v>67</v>
      </c>
    </row>
    <row r="13" spans="1:3" x14ac:dyDescent="0.3">
      <c r="A13" s="50" t="s">
        <v>39</v>
      </c>
      <c r="B13" s="49" t="s">
        <v>40</v>
      </c>
      <c r="C13" s="51" t="s">
        <v>74</v>
      </c>
    </row>
    <row r="14" spans="1:3" x14ac:dyDescent="0.3">
      <c r="A14" s="50" t="s">
        <v>39</v>
      </c>
      <c r="B14" s="49" t="s">
        <v>44</v>
      </c>
      <c r="C14" s="51" t="s">
        <v>74</v>
      </c>
    </row>
    <row r="15" spans="1:3" x14ac:dyDescent="0.3">
      <c r="A15" s="50" t="s">
        <v>49</v>
      </c>
      <c r="B15" s="49" t="s">
        <v>75</v>
      </c>
      <c r="C15" s="51" t="s">
        <v>74</v>
      </c>
    </row>
    <row r="16" spans="1:3" x14ac:dyDescent="0.3">
      <c r="A16" s="50" t="s">
        <v>49</v>
      </c>
      <c r="B16" s="49" t="s">
        <v>76</v>
      </c>
      <c r="C16" s="51" t="s">
        <v>74</v>
      </c>
    </row>
    <row r="17" spans="1:3" x14ac:dyDescent="0.3">
      <c r="A17" s="50" t="s">
        <v>77</v>
      </c>
      <c r="B17" s="49" t="s">
        <v>78</v>
      </c>
      <c r="C17" s="51" t="s">
        <v>74</v>
      </c>
    </row>
    <row r="18" spans="1:3" x14ac:dyDescent="0.3">
      <c r="A18" s="50" t="s">
        <v>49</v>
      </c>
      <c r="B18" s="49" t="s">
        <v>79</v>
      </c>
      <c r="C18" s="51" t="s">
        <v>74</v>
      </c>
    </row>
    <row r="19" spans="1:3" x14ac:dyDescent="0.3">
      <c r="A19" s="50" t="s">
        <v>49</v>
      </c>
      <c r="B19" s="49" t="s">
        <v>50</v>
      </c>
      <c r="C19" s="51" t="s">
        <v>80</v>
      </c>
    </row>
    <row r="20" spans="1:3" x14ac:dyDescent="0.3">
      <c r="A20" s="50" t="s">
        <v>68</v>
      </c>
      <c r="B20" s="49" t="s">
        <v>81</v>
      </c>
      <c r="C20" s="51" t="s">
        <v>80</v>
      </c>
    </row>
    <row r="21" spans="1:3" x14ac:dyDescent="0.3">
      <c r="A21" s="50" t="s">
        <v>68</v>
      </c>
      <c r="B21" s="49" t="s">
        <v>82</v>
      </c>
      <c r="C21" s="51" t="s">
        <v>80</v>
      </c>
    </row>
    <row r="22" spans="1:3" x14ac:dyDescent="0.3">
      <c r="A22" s="50" t="s">
        <v>65</v>
      </c>
      <c r="B22" s="49" t="s">
        <v>66</v>
      </c>
      <c r="C22" s="51" t="s">
        <v>80</v>
      </c>
    </row>
    <row r="23" spans="1:3" x14ac:dyDescent="0.3">
      <c r="A23" s="50" t="s">
        <v>83</v>
      </c>
      <c r="B23" s="49" t="s">
        <v>84</v>
      </c>
      <c r="C23" s="51" t="s">
        <v>80</v>
      </c>
    </row>
    <row r="24" spans="1:3" x14ac:dyDescent="0.3">
      <c r="A24" s="50" t="s">
        <v>65</v>
      </c>
      <c r="B24" s="49" t="s">
        <v>85</v>
      </c>
      <c r="C24" s="51" t="s">
        <v>80</v>
      </c>
    </row>
    <row r="25" spans="1:3" x14ac:dyDescent="0.3">
      <c r="A25" s="55" t="s">
        <v>49</v>
      </c>
      <c r="B25" s="56" t="s">
        <v>86</v>
      </c>
      <c r="C25" s="57" t="s">
        <v>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2026-01-13T08:38:48Z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