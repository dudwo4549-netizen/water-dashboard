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D:\KYJ\★기획부\07_공정관리\4. 관망관리_유수율 관리\2026년\3월\3주차\"/>
    </mc:Choice>
  </mc:AlternateContent>
  <xr:revisionPtr revIDLastSave="0" documentId="13_ncr:1_{F457360B-4819-4607-8C67-0EF54BF73E99}" xr6:coauthVersionLast="47" xr6:coauthVersionMax="47" xr10:uidLastSave="{00000000-0000-0000-0000-000000000000}"/>
  <bookViews>
    <workbookView xWindow="-28920" yWindow="-120" windowWidth="29040" windowHeight="15720" activeTab="1" xr2:uid="{EC9B057A-660A-480F-BC35-AB652DDFBF0D}"/>
  </bookViews>
  <sheets>
    <sheet name="요약" sheetId="3" r:id="rId1"/>
    <sheet name="목표유수율 현장" sheetId="1" r:id="rId2"/>
    <sheet name="목표유수율 관리 리스트" sheetId="2" r:id="rId3"/>
  </sheets>
  <definedNames>
    <definedName name="_xlnm._FilterDatabase" localSheetId="1" hidden="1">'목표유수율 현장'!$B$5:$AJ$107</definedName>
    <definedName name="상세종류">"현대화,유지관리(사후관리),유지관리(블록별),유지관리(누수탐사)"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8" i="1" l="1"/>
  <c r="N94" i="1"/>
  <c r="O83" i="1"/>
  <c r="O82" i="1"/>
  <c r="N83" i="1"/>
  <c r="N81" i="1"/>
  <c r="O81" i="1" s="1"/>
  <c r="X83" i="1"/>
  <c r="X81" i="1"/>
  <c r="W84" i="1"/>
  <c r="W82" i="1"/>
  <c r="U84" i="1"/>
  <c r="U82" i="1"/>
  <c r="P84" i="1"/>
  <c r="O84" i="1"/>
  <c r="AF83" i="1"/>
  <c r="AC82" i="1"/>
  <c r="R82" i="1"/>
  <c r="Q82" i="1"/>
  <c r="P82" i="1"/>
  <c r="AF81" i="1"/>
  <c r="R87" i="1"/>
  <c r="Q87" i="1"/>
  <c r="N77" i="1"/>
  <c r="O77" i="1" s="1"/>
  <c r="X71" i="1"/>
  <c r="W55" i="1"/>
  <c r="X54" i="1"/>
  <c r="Y54" i="1" s="1"/>
  <c r="U55" i="1"/>
  <c r="N52" i="1"/>
  <c r="AC55" i="1"/>
  <c r="AF54" i="1"/>
  <c r="N54" i="1"/>
  <c r="O54" i="1" s="1"/>
  <c r="O55" i="1" s="1"/>
  <c r="Y81" i="1" l="1"/>
  <c r="Y82" i="1"/>
  <c r="X82" i="1"/>
  <c r="Y83" i="1"/>
  <c r="Y84" i="1"/>
  <c r="X84" i="1"/>
  <c r="X55" i="1"/>
  <c r="Y55" i="1"/>
  <c r="AF79" i="1" l="1"/>
  <c r="O80" i="1"/>
  <c r="AC78" i="1"/>
  <c r="R78" i="1"/>
  <c r="Q78" i="1"/>
  <c r="P78" i="1"/>
  <c r="AF77" i="1"/>
  <c r="O78" i="1"/>
  <c r="AC101" i="1" l="1"/>
  <c r="O52" i="1" l="1"/>
  <c r="O53" i="1" s="1"/>
  <c r="AC53" i="1"/>
  <c r="P53" i="1"/>
  <c r="AF52" i="1"/>
  <c r="P27" i="1" l="1"/>
  <c r="W43" i="1" l="1"/>
  <c r="X42" i="1"/>
  <c r="Y42" i="1" s="1"/>
  <c r="X43" i="1" l="1"/>
  <c r="Y43" i="1"/>
  <c r="P99" i="1"/>
  <c r="N26" i="1" l="1"/>
  <c r="O26" i="1" s="1"/>
  <c r="O27" i="1" s="1"/>
  <c r="P93" i="1" l="1"/>
  <c r="P91" i="1"/>
  <c r="N71" i="1" l="1"/>
  <c r="O71" i="1" s="1"/>
  <c r="O72" i="1" s="1"/>
  <c r="W74" i="1" l="1"/>
  <c r="Y74" i="1"/>
  <c r="X74" i="1"/>
  <c r="Y73" i="1"/>
  <c r="P95" i="1" l="1"/>
  <c r="W95" i="1"/>
  <c r="AC95" i="1"/>
  <c r="AF94" i="1" l="1"/>
  <c r="O94" i="1" l="1"/>
  <c r="O95" i="1" s="1"/>
  <c r="X94" i="1"/>
  <c r="W105" i="1"/>
  <c r="P105" i="1"/>
  <c r="N104" i="1"/>
  <c r="O104" i="1" s="1"/>
  <c r="O105" i="1" s="1"/>
  <c r="AF104" i="1"/>
  <c r="Y94" i="1" l="1"/>
  <c r="Y95" i="1"/>
  <c r="X95" i="1"/>
  <c r="X104" i="1"/>
  <c r="Y105" i="1" l="1"/>
  <c r="X105" i="1"/>
  <c r="Y104" i="1"/>
  <c r="AC51" i="1" l="1"/>
  <c r="AC49" i="1"/>
  <c r="P49" i="1"/>
  <c r="N48" i="1"/>
  <c r="O48" i="1" s="1"/>
  <c r="O49" i="1" s="1"/>
  <c r="AF48" i="1"/>
  <c r="AC47" i="1" l="1"/>
  <c r="P47" i="1"/>
  <c r="N46" i="1"/>
  <c r="O46" i="1" s="1"/>
  <c r="O47" i="1" s="1"/>
  <c r="AF46" i="1"/>
  <c r="AC45" i="1"/>
  <c r="P45" i="1"/>
  <c r="N44" i="1"/>
  <c r="O44" i="1" s="1"/>
  <c r="O45" i="1" s="1"/>
  <c r="AF44" i="1"/>
  <c r="AC43" i="1"/>
  <c r="AF42" i="1"/>
  <c r="P43" i="1"/>
  <c r="N42" i="1"/>
  <c r="O42" i="1" s="1"/>
  <c r="O43" i="1" s="1"/>
  <c r="AC41" i="1"/>
  <c r="P41" i="1"/>
  <c r="N40" i="1"/>
  <c r="O40" i="1" s="1"/>
  <c r="O41" i="1" s="1"/>
  <c r="AF40" i="1"/>
  <c r="AF73" i="1"/>
  <c r="R74" i="1"/>
  <c r="Q74" i="1"/>
  <c r="P74" i="1"/>
  <c r="N73" i="1"/>
  <c r="O73" i="1" s="1"/>
  <c r="O74" i="1" s="1"/>
  <c r="AC74" i="1"/>
  <c r="R39" i="1" l="1"/>
  <c r="AC39" i="1"/>
  <c r="W39" i="1"/>
  <c r="Q39" i="1"/>
  <c r="P39" i="1"/>
  <c r="X38" i="1"/>
  <c r="AF38" i="1"/>
  <c r="Y39" i="1" l="1"/>
  <c r="X39" i="1"/>
  <c r="Y38" i="1"/>
  <c r="N38" i="1"/>
  <c r="O38" i="1" s="1"/>
  <c r="O39" i="1" s="1"/>
  <c r="X67" i="1" l="1"/>
  <c r="Y68" i="1" s="1"/>
  <c r="W68" i="1"/>
  <c r="Y67" i="1" l="1"/>
  <c r="X68" i="1"/>
  <c r="W72" i="1" l="1"/>
  <c r="Y72" i="1"/>
  <c r="R72" i="1"/>
  <c r="Q72" i="1"/>
  <c r="U72" i="1"/>
  <c r="P72" i="1"/>
  <c r="AF71" i="1"/>
  <c r="AC70" i="1"/>
  <c r="Y71" i="1" l="1"/>
  <c r="X72" i="1"/>
  <c r="AF67" i="1"/>
  <c r="U68" i="1"/>
  <c r="P68" i="1"/>
  <c r="AC66" i="1" l="1"/>
  <c r="P87" i="1" l="1"/>
  <c r="P101" i="1"/>
  <c r="N100" i="1"/>
  <c r="O100" i="1" s="1"/>
  <c r="O101" i="1" s="1"/>
  <c r="AF100" i="1"/>
  <c r="AC20" i="1"/>
  <c r="AC16" i="1"/>
  <c r="P20" i="1"/>
  <c r="N19" i="1"/>
  <c r="O19" i="1" s="1"/>
  <c r="O20" i="1" s="1"/>
  <c r="AF19" i="1"/>
  <c r="P16" i="1"/>
  <c r="N15" i="1"/>
  <c r="O15" i="1" s="1"/>
  <c r="O16" i="1" s="1"/>
  <c r="AF15" i="1"/>
  <c r="AC93" i="1"/>
  <c r="AC91" i="1"/>
  <c r="W91" i="1"/>
  <c r="AF92" i="1"/>
  <c r="O92" i="1"/>
  <c r="O93" i="1" s="1"/>
  <c r="X90" i="1"/>
  <c r="AF90" i="1"/>
  <c r="O90" i="1"/>
  <c r="O91" i="1" s="1"/>
  <c r="Y91" i="1" l="1"/>
  <c r="X91" i="1"/>
  <c r="Y90" i="1"/>
  <c r="U87" i="1" l="1"/>
  <c r="AF86" i="1"/>
  <c r="AC87" i="1"/>
  <c r="W87" i="1"/>
  <c r="AC12" i="1"/>
  <c r="W12" i="1"/>
  <c r="U12" i="1"/>
  <c r="R12" i="1"/>
  <c r="P12" i="1"/>
  <c r="N11" i="1"/>
  <c r="O11" i="1" s="1"/>
  <c r="O12" i="1" s="1"/>
  <c r="AF11" i="1"/>
  <c r="N86" i="1" l="1"/>
  <c r="O86" i="1" s="1"/>
  <c r="O87" i="1" s="1"/>
  <c r="X86" i="1"/>
  <c r="X11" i="1"/>
  <c r="Y87" i="1" l="1"/>
  <c r="X87" i="1"/>
  <c r="Y86" i="1"/>
  <c r="X12" i="1"/>
  <c r="Y11" i="1"/>
  <c r="Y12" i="1"/>
  <c r="W29" i="1"/>
  <c r="R29" i="1"/>
  <c r="Q29" i="1"/>
  <c r="P29" i="1"/>
  <c r="O98" i="1" l="1"/>
  <c r="O99" i="1" s="1"/>
  <c r="AC99" i="1"/>
  <c r="AC97" i="1"/>
  <c r="AF98" i="1"/>
  <c r="P97" i="1"/>
  <c r="N96" i="1"/>
  <c r="O96" i="1" s="1"/>
  <c r="O97" i="1" s="1"/>
  <c r="AF96" i="1"/>
  <c r="AC31" i="1" l="1"/>
  <c r="P31" i="1"/>
  <c r="N30" i="1"/>
  <c r="O30" i="1" s="1"/>
  <c r="O31" i="1" s="1"/>
  <c r="AF30" i="1"/>
  <c r="W35" i="1" l="1"/>
  <c r="AC35" i="1"/>
  <c r="R35" i="1"/>
  <c r="Q35" i="1"/>
  <c r="P35" i="1"/>
  <c r="N34" i="1"/>
  <c r="O34" i="1" s="1"/>
  <c r="O35" i="1" s="1"/>
  <c r="AF34" i="1"/>
  <c r="X34" i="1" l="1"/>
  <c r="Y35" i="1" l="1"/>
  <c r="X35" i="1"/>
  <c r="Y34" i="1"/>
  <c r="AC58" i="1" l="1"/>
  <c r="AC60" i="1"/>
  <c r="AC62" i="1"/>
  <c r="W62" i="1"/>
  <c r="U62" i="1"/>
  <c r="R62" i="1"/>
  <c r="Q62" i="1"/>
  <c r="P62" i="1"/>
  <c r="X61" i="1"/>
  <c r="AF61" i="1"/>
  <c r="N61" i="1" l="1"/>
  <c r="O61" i="1" s="1"/>
  <c r="O62" i="1" s="1"/>
  <c r="Y61" i="1"/>
  <c r="Y62" i="1"/>
  <c r="X62" i="1"/>
  <c r="P25" i="1" l="1"/>
  <c r="W27" i="1"/>
  <c r="AC29" i="1"/>
  <c r="AC27" i="1"/>
  <c r="AC25" i="1"/>
  <c r="AC10" i="1"/>
  <c r="U8" i="1" l="1"/>
  <c r="AC8" i="1" l="1"/>
  <c r="AF7" i="1" l="1"/>
  <c r="N24" i="1"/>
  <c r="O24" i="1" s="1"/>
  <c r="O25" i="1" s="1"/>
  <c r="AF28" i="1"/>
  <c r="U60" i="1"/>
  <c r="U58" i="1"/>
  <c r="R60" i="1"/>
  <c r="R58" i="1"/>
  <c r="Q60" i="1"/>
  <c r="Q58" i="1"/>
  <c r="P60" i="1"/>
  <c r="P58" i="1"/>
  <c r="N28" i="1" l="1"/>
  <c r="O28" i="1" s="1"/>
  <c r="O29" i="1" s="1"/>
  <c r="X28" i="1"/>
  <c r="X26" i="1"/>
  <c r="Y28" i="1" l="1"/>
  <c r="Y29" i="1"/>
  <c r="X29" i="1"/>
  <c r="Y26" i="1"/>
  <c r="Y27" i="1"/>
  <c r="X27" i="1"/>
  <c r="AF59" i="1"/>
  <c r="AF57" i="1"/>
  <c r="AF26" i="1"/>
  <c r="AF24" i="1"/>
  <c r="P8" i="1"/>
  <c r="N7" i="1" l="1"/>
  <c r="O7" i="1" s="1"/>
  <c r="O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61" authorId="0" shapeId="0" xr:uid="{3B3820E1-47F0-429C-B933-E30D1F23B090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1" authorId="0" shapeId="0" xr:uid="{D011F939-F7EF-4FA2-8CC3-DDB4B84618B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5" authorId="0" shapeId="0" xr:uid="{7C9E8598-1FAD-4744-82D1-766A6F71D9B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5" authorId="0" shapeId="0" xr:uid="{AE65BBC5-C2D4-4CD6-9491-7C35D5F2548B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69" authorId="0" shapeId="0" xr:uid="{BDF4940F-7F58-4E49-870A-8239E8EA12C7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69" authorId="0" shapeId="0" xr:uid="{FD2428A8-9067-4D0C-9F80-6EA330E4DCF9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L71" authorId="0" shapeId="0" xr:uid="{67858248-9459-4D89-9A06-551055F63BF5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3" authorId="0" shapeId="0" xr:uid="{AA98F952-4C2A-47CE-ABFA-A51BF759CB35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3" authorId="0" shapeId="0" xr:uid="{26EE3283-A4BF-4F93-A4BF-A788793775A1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77" authorId="0" shapeId="0" xr:uid="{F35D4854-1BCC-4316-B102-D83E8D21D403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77" authorId="0" shapeId="0" xr:uid="{81E11051-96C0-4B33-9254-1A9B4984A9E7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  <comment ref="J81" authorId="0" shapeId="0" xr:uid="{42EF5777-3C6A-40BC-BFE3-BAC071CB936A}">
      <text>
        <r>
          <rPr>
            <b/>
            <sz val="15"/>
            <color indexed="81"/>
            <rFont val="돋움"/>
            <family val="3"/>
            <charset val="129"/>
          </rPr>
          <t>소블록이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아닌</t>
        </r>
        <r>
          <rPr>
            <b/>
            <sz val="15"/>
            <color indexed="81"/>
            <rFont val="Tahoma"/>
            <family val="2"/>
          </rPr>
          <t xml:space="preserve"> </t>
        </r>
        <r>
          <rPr>
            <b/>
            <sz val="15"/>
            <color indexed="81"/>
            <rFont val="돋움"/>
            <family val="3"/>
            <charset val="129"/>
          </rPr>
          <t>중블록</t>
        </r>
      </text>
    </comment>
    <comment ref="L81" authorId="0" shapeId="0" xr:uid="{D6F4E3AA-F560-48A4-BB80-EB68C0671BAD}">
      <text>
        <r>
          <rPr>
            <b/>
            <sz val="15"/>
            <color indexed="81"/>
            <rFont val="돋움"/>
            <family val="3"/>
            <charset val="129"/>
          </rPr>
          <t>성과판정유수율</t>
        </r>
      </text>
    </comment>
  </commentList>
</comments>
</file>

<file path=xl/sharedStrings.xml><?xml version="1.0" encoding="utf-8"?>
<sst xmlns="http://schemas.openxmlformats.org/spreadsheetml/2006/main" count="1423" uniqueCount="265">
  <si>
    <t>No.</t>
    <phoneticPr fontId="2" type="noConversion"/>
  </si>
  <si>
    <t>소 속</t>
    <phoneticPr fontId="2" type="noConversion"/>
  </si>
  <si>
    <t>현 장</t>
    <phoneticPr fontId="2" type="noConversion"/>
  </si>
  <si>
    <t>상세종류</t>
    <phoneticPr fontId="2" type="noConversion"/>
  </si>
  <si>
    <t>팀장</t>
    <phoneticPr fontId="2" type="noConversion"/>
  </si>
  <si>
    <t>목표유수율</t>
    <phoneticPr fontId="2" type="noConversion"/>
  </si>
  <si>
    <t>착수일</t>
    <phoneticPr fontId="2" type="noConversion"/>
  </si>
  <si>
    <t>준공일</t>
    <phoneticPr fontId="2" type="noConversion"/>
  </si>
  <si>
    <t>달성 조건</t>
    <phoneticPr fontId="2" type="noConversion"/>
  </si>
  <si>
    <t>용역명</t>
    <phoneticPr fontId="2" type="noConversion"/>
  </si>
  <si>
    <t>잔여일</t>
    <phoneticPr fontId="2" type="noConversion"/>
  </si>
  <si>
    <t>경상3팀</t>
    <phoneticPr fontId="2" type="noConversion"/>
  </si>
  <si>
    <t>순천</t>
    <phoneticPr fontId="2" type="noConversion"/>
  </si>
  <si>
    <t xml:space="preserve">관망운영관리 및 누수탐사 </t>
    <phoneticPr fontId="2" type="noConversion"/>
  </si>
  <si>
    <t>현대화</t>
  </si>
  <si>
    <t>-</t>
    <phoneticPr fontId="2" type="noConversion"/>
  </si>
  <si>
    <t>유수율 100% 
상회 블록</t>
    <phoneticPr fontId="2" type="noConversion"/>
  </si>
  <si>
    <t>블록구축 
완료</t>
    <phoneticPr fontId="2" type="noConversion"/>
  </si>
  <si>
    <t>현재 유수율
(%)</t>
    <phoneticPr fontId="2" type="noConversion"/>
  </si>
  <si>
    <t>초기 유수율
(%)</t>
    <phoneticPr fontId="2" type="noConversion"/>
  </si>
  <si>
    <t>특이사항</t>
    <phoneticPr fontId="2" type="noConversion"/>
  </si>
  <si>
    <t>목표
누수탐사</t>
    <phoneticPr fontId="2" type="noConversion"/>
  </si>
  <si>
    <t>현재
누수탐사</t>
    <phoneticPr fontId="2" type="noConversion"/>
  </si>
  <si>
    <t>대상</t>
    <phoneticPr fontId="2" type="noConversion"/>
  </si>
  <si>
    <t>외</t>
    <phoneticPr fontId="2" type="noConversion"/>
  </si>
  <si>
    <t>성과판정 
대상/외</t>
    <phoneticPr fontId="2" type="noConversion"/>
  </si>
  <si>
    <t xml:space="preserve">성과대상구역 판정기간 평균 유수율 85% 달성
초기유수율 산정 기준 : 착수 전 2개월 평균 </t>
    <phoneticPr fontId="2" type="noConversion"/>
  </si>
  <si>
    <t>① 유수율 관리</t>
    <phoneticPr fontId="2" type="noConversion"/>
  </si>
  <si>
    <t>현재까지 도달해야
하는 유수율</t>
    <phoneticPr fontId="2" type="noConversion"/>
  </si>
  <si>
    <t>현재까지 목표대비 미도달 유수율</t>
    <phoneticPr fontId="2" type="noConversion"/>
  </si>
  <si>
    <t>개선방안</t>
    <phoneticPr fontId="2" type="noConversion"/>
  </si>
  <si>
    <t>현재까지 도달해야
하는 누수탐사</t>
    <phoneticPr fontId="2" type="noConversion"/>
  </si>
  <si>
    <t>현재까지 목표대비 
미도달 누수탐사</t>
    <phoneticPr fontId="2" type="noConversion"/>
  </si>
  <si>
    <t>목표유수율 대상 
소블록(개소)</t>
    <phoneticPr fontId="2" type="noConversion"/>
  </si>
  <si>
    <t>경북팀</t>
    <phoneticPr fontId="2" type="noConversion"/>
  </si>
  <si>
    <t>의성</t>
    <phoneticPr fontId="2" type="noConversion"/>
  </si>
  <si>
    <t>유지관리(사후관리)</t>
  </si>
  <si>
    <t>전체</t>
    <phoneticPr fontId="2" type="noConversion"/>
  </si>
  <si>
    <t>경기2팀</t>
    <phoneticPr fontId="2" type="noConversion"/>
  </si>
  <si>
    <t>인천(남동)</t>
    <phoneticPr fontId="2" type="noConversion"/>
  </si>
  <si>
    <t>블록시스템 유지관리</t>
    <phoneticPr fontId="2" type="noConversion"/>
  </si>
  <si>
    <t>유지관리(블록별)</t>
  </si>
  <si>
    <t>양승현</t>
    <phoneticPr fontId="2" type="noConversion"/>
  </si>
  <si>
    <t>인천(연수)</t>
    <phoneticPr fontId="2" type="noConversion"/>
  </si>
  <si>
    <t>박기웅</t>
    <phoneticPr fontId="2" type="noConversion"/>
  </si>
  <si>
    <t>목표유수율 달성
소블록</t>
    <phoneticPr fontId="2" type="noConversion"/>
  </si>
  <si>
    <t>블록별 목표 유수율 조건
3차년도(12개월) 블록별 평균 유수율</t>
    <phoneticPr fontId="2" type="noConversion"/>
  </si>
  <si>
    <t>블록별</t>
    <phoneticPr fontId="2" type="noConversion"/>
  </si>
  <si>
    <t>단독팀</t>
    <phoneticPr fontId="2" type="noConversion"/>
  </si>
  <si>
    <t>철원</t>
    <phoneticPr fontId="2" type="noConversion"/>
  </si>
  <si>
    <t>유지관리(누수탐사)</t>
  </si>
  <si>
    <t>강원2팀</t>
    <phoneticPr fontId="2" type="noConversion"/>
  </si>
  <si>
    <t>홍천</t>
    <phoneticPr fontId="2" type="noConversion"/>
  </si>
  <si>
    <t>상수도관망 전문유지관리</t>
    <phoneticPr fontId="2" type="noConversion"/>
  </si>
  <si>
    <t>윤윤상</t>
    <phoneticPr fontId="2" type="noConversion"/>
  </si>
  <si>
    <t>소속</t>
    <phoneticPr fontId="2" type="noConversion"/>
  </si>
  <si>
    <t>현장</t>
    <phoneticPr fontId="2" type="noConversion"/>
  </si>
  <si>
    <t>용역종류</t>
    <phoneticPr fontId="2" type="noConversion"/>
  </si>
  <si>
    <t>현대화</t>
    <phoneticPr fontId="2" type="noConversion"/>
  </si>
  <si>
    <t>경상2팀</t>
    <phoneticPr fontId="2" type="noConversion"/>
  </si>
  <si>
    <t>양산</t>
    <phoneticPr fontId="2" type="noConversion"/>
  </si>
  <si>
    <t>전라2팀</t>
    <phoneticPr fontId="2" type="noConversion"/>
  </si>
  <si>
    <t>영암</t>
    <phoneticPr fontId="2" type="noConversion"/>
  </si>
  <si>
    <t>유지관리(사후관리)</t>
    <phoneticPr fontId="2" type="noConversion"/>
  </si>
  <si>
    <t>강원1팀</t>
    <phoneticPr fontId="2" type="noConversion"/>
  </si>
  <si>
    <t>화천</t>
    <phoneticPr fontId="2" type="noConversion"/>
  </si>
  <si>
    <t>강진</t>
    <phoneticPr fontId="2" type="noConversion"/>
  </si>
  <si>
    <t>원주</t>
    <phoneticPr fontId="2" type="noConversion"/>
  </si>
  <si>
    <t>함안</t>
    <phoneticPr fontId="2" type="noConversion"/>
  </si>
  <si>
    <t>남해</t>
    <phoneticPr fontId="2" type="noConversion"/>
  </si>
  <si>
    <t>유지관리(블록별)</t>
    <phoneticPr fontId="2" type="noConversion"/>
  </si>
  <si>
    <t>고흥</t>
    <phoneticPr fontId="2" type="noConversion"/>
  </si>
  <si>
    <t>장성</t>
    <phoneticPr fontId="2" type="noConversion"/>
  </si>
  <si>
    <t>전라1팀</t>
    <phoneticPr fontId="2" type="noConversion"/>
  </si>
  <si>
    <t>광주</t>
    <phoneticPr fontId="2" type="noConversion"/>
  </si>
  <si>
    <t>해남</t>
    <phoneticPr fontId="2" type="noConversion"/>
  </si>
  <si>
    <t>유지관리(누수탐사)</t>
    <phoneticPr fontId="2" type="noConversion"/>
  </si>
  <si>
    <t>가평</t>
    <phoneticPr fontId="2" type="noConversion"/>
  </si>
  <si>
    <t>속초</t>
    <phoneticPr fontId="2" type="noConversion"/>
  </si>
  <si>
    <t>충청팀</t>
    <phoneticPr fontId="2" type="noConversion"/>
  </si>
  <si>
    <t>부안</t>
    <phoneticPr fontId="2" type="noConversion"/>
  </si>
  <si>
    <t>고창</t>
    <phoneticPr fontId="2" type="noConversion"/>
  </si>
  <si>
    <t>진안</t>
    <phoneticPr fontId="2" type="noConversion"/>
  </si>
  <si>
    <t>■ 목표유수율 현장 관리 대장</t>
    <phoneticPr fontId="2" type="noConversion"/>
  </si>
  <si>
    <t>② 블록 관리</t>
    <phoneticPr fontId="2" type="noConversion"/>
  </si>
  <si>
    <t>③ 누수 관리</t>
    <phoneticPr fontId="2" type="noConversion"/>
  </si>
  <si>
    <t>④ 일정 관리</t>
    <phoneticPr fontId="2" type="noConversion"/>
  </si>
  <si>
    <t>판정 시작일
(목표유수율 산정 시작일)</t>
    <phoneticPr fontId="2" type="noConversion"/>
  </si>
  <si>
    <t>판정 종료일
(목표유수율 산정 종료일)</t>
    <phoneticPr fontId="2" type="noConversion"/>
  </si>
  <si>
    <t>■ 현대화사업</t>
    <phoneticPr fontId="2" type="noConversion"/>
  </si>
  <si>
    <t>■ 유지관리(사후관리)</t>
    <phoneticPr fontId="2" type="noConversion"/>
  </si>
  <si>
    <t>■ 유지관리(블록별)</t>
    <phoneticPr fontId="2" type="noConversion"/>
  </si>
  <si>
    <t>■ 유지관리(누수탐사)</t>
    <phoneticPr fontId="2" type="noConversion"/>
  </si>
  <si>
    <r>
      <t xml:space="preserve">□ 목표유수율이 있는 현장의 효율적인 공정관리를 위한 목적으로 총 4개의 관리 체계 분리
 </t>
    </r>
    <r>
      <rPr>
        <b/>
        <sz val="18"/>
        <color theme="0"/>
        <rFont val="KoPubWorld돋움체 Medium"/>
        <family val="3"/>
        <charset val="129"/>
      </rPr>
      <t>① 유수율 관리 : 전반적인 유수율 관리를 위한 내용</t>
    </r>
    <r>
      <rPr>
        <sz val="18"/>
        <color theme="0"/>
        <rFont val="KoPubWorld돋움체 Medium"/>
        <family val="3"/>
        <charset val="129"/>
      </rPr>
      <t xml:space="preserve"> 
   - 성과판정 대상 구역 / 목표 유수율 / 목표 유수율 대상 소블록 / 달성 조건 / 초기 및 현재(가장 최근) 유수율 / 현재까지 도달해야 하는 유수율 / 현재까지 목표대비 미도달한 유수율 
 </t>
    </r>
    <r>
      <rPr>
        <b/>
        <sz val="18"/>
        <color theme="0"/>
        <rFont val="KoPubWorld돋움체 Medium"/>
        <family val="3"/>
        <charset val="129"/>
      </rPr>
      <t>② 블록 관리 : 유수율 산정하기 위한 조건을 확인하기 위한 내용</t>
    </r>
    <r>
      <rPr>
        <sz val="18"/>
        <color theme="0"/>
        <rFont val="KoPubWorld돋움체 Medium"/>
        <family val="3"/>
        <charset val="129"/>
      </rPr>
      <t xml:space="preserve">
   - 블록구축 완료 소블록 개수 / 유수율 100% 상회 블록(블록구축 완료된 블록에 한해) / 목표유수율 달성한 소블록 / 초기·목표·현재 야간최소유량
 </t>
    </r>
    <r>
      <rPr>
        <b/>
        <sz val="18"/>
        <color theme="0"/>
        <rFont val="KoPubWorld돋움체 Medium"/>
        <family val="3"/>
        <charset val="129"/>
      </rPr>
      <t>③ 누수 관리 : 목표유수율과 목표 누수탐사 건수를 관리하기 위한 내용</t>
    </r>
    <r>
      <rPr>
        <sz val="18"/>
        <color theme="0"/>
        <rFont val="KoPubWorld돋움체 Medium"/>
        <family val="3"/>
        <charset val="129"/>
      </rPr>
      <t xml:space="preserve"> 
   - 목표 누수탐사 건수 / 현재 누수탐사 건수 / 현재까지 도달해야 하는 누수탐사 건수 / 현재까지 목표대비 미도달 누수탐사 건수
</t>
    </r>
    <r>
      <rPr>
        <b/>
        <sz val="18"/>
        <color theme="0"/>
        <rFont val="KoPubWorld돋움체 Medium"/>
        <family val="3"/>
        <charset val="129"/>
      </rPr>
      <t xml:space="preserve"> ④ 일정 관리 : 과업 착수일로부터 목표유수율 달성하기까지 일정을 관리하기 위한 내용</t>
    </r>
    <r>
      <rPr>
        <sz val="18"/>
        <color theme="0"/>
        <rFont val="KoPubWorld돋움체 Medium"/>
        <family val="3"/>
        <charset val="129"/>
      </rPr>
      <t xml:space="preserve">
   - </t>
    </r>
    <r>
      <rPr>
        <b/>
        <sz val="18"/>
        <color rgb="FFFFFF00"/>
        <rFont val="KoPubWorld돋움체 Medium"/>
        <family val="3"/>
        <charset val="129"/>
      </rPr>
      <t>착수일</t>
    </r>
    <r>
      <rPr>
        <sz val="18"/>
        <color theme="0"/>
        <rFont val="KoPubWorld돋움체 Medium"/>
        <family val="3"/>
        <charset val="129"/>
      </rPr>
      <t xml:space="preserve"> / </t>
    </r>
    <r>
      <rPr>
        <b/>
        <sz val="18"/>
        <color rgb="FFFFFF00"/>
        <rFont val="KoPubWorld돋움체 Medium"/>
        <family val="3"/>
        <charset val="129"/>
      </rPr>
      <t>준공일(전체분에 대한 준공일)</t>
    </r>
    <r>
      <rPr>
        <sz val="18"/>
        <color theme="0"/>
        <rFont val="KoPubWorld돋움체 Medium"/>
        <family val="3"/>
        <charset val="129"/>
      </rPr>
      <t xml:space="preserve"> / 성과판정 시작일(유지관리의 경우 목표유수율 산정 시작일) / 성과판정 종료일(유지관리의 경우 목표유수율 산정 종료일) / 잔여일
□ 목표유수율 대상 현장 중 해당 조건에 맞는 내용들은 모두 기입하여 작성
  ◁ 현대화사업의 경우 </t>
    </r>
    <r>
      <rPr>
        <b/>
        <sz val="18"/>
        <color rgb="FFFFFF00"/>
        <rFont val="KoPubWorld돋움체 Medium"/>
        <family val="3"/>
        <charset val="129"/>
      </rPr>
      <t>① 유수율 관리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 xml:space="preserve">② 블록 관리 </t>
    </r>
    <r>
      <rPr>
        <b/>
        <sz val="18"/>
        <color theme="0"/>
        <rFont val="KoPubWorld돋움체 Medium"/>
        <family val="3"/>
        <charset val="129"/>
      </rPr>
      <t>및</t>
    </r>
    <r>
      <rPr>
        <sz val="18"/>
        <color theme="0"/>
        <rFont val="KoPubWorld돋움체 Medium"/>
        <family val="3"/>
        <charset val="129"/>
      </rPr>
      <t xml:space="preserve"> </t>
    </r>
    <r>
      <rPr>
        <b/>
        <sz val="18"/>
        <color rgb="FFFFFF00"/>
        <rFont val="KoPubWorld돋움체 Medium"/>
        <family val="3"/>
        <charset val="129"/>
      </rPr>
      <t>④ 일정 관리</t>
    </r>
    <r>
      <rPr>
        <sz val="18"/>
        <color rgb="FFFFFF0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 xml:space="preserve">항목을 작성
  ◁ 초기 유수율 산정 내용은 과업지시서 상에 나와있는 산정 기준을 참조하여 작성(ex 착수 전 2개월 평균 / 현대화사업의 경우 사업 전에 제시된 평균 유수율)
  ◁ 유지관리 용역 중 블록별로 관리하는 현장은 목표유수율은 </t>
    </r>
    <r>
      <rPr>
        <b/>
        <sz val="18"/>
        <color rgb="FFFFFF00"/>
        <rFont val="KoPubWorld돋움체 Medium"/>
        <family val="3"/>
        <charset val="129"/>
      </rPr>
      <t>블록별 기준</t>
    </r>
    <r>
      <rPr>
        <sz val="18"/>
        <color theme="0"/>
        <rFont val="KoPubWorld돋움체 Medium"/>
        <family val="3"/>
        <charset val="129"/>
      </rPr>
      <t xml:space="preserve"> 으로 작성 
  ◁ 유지관리 용역 중 과업지시서 상 목표누수건수도 같이 잡혀 있는 현장은 </t>
    </r>
    <r>
      <rPr>
        <b/>
        <sz val="18"/>
        <color rgb="FFFFFF00"/>
        <rFont val="KoPubWorld돋움체 Medium"/>
        <family val="3"/>
        <charset val="129"/>
      </rPr>
      <t>③누수 관리</t>
    </r>
    <r>
      <rPr>
        <sz val="18"/>
        <color theme="0"/>
        <rFont val="KoPubWorld돋움체 Medium"/>
        <family val="3"/>
        <charset val="129"/>
      </rPr>
      <t>도</t>
    </r>
    <r>
      <rPr>
        <b/>
        <sz val="18"/>
        <color theme="0"/>
        <rFont val="KoPubWorld돋움체 Medium"/>
        <family val="3"/>
        <charset val="129"/>
      </rPr>
      <t xml:space="preserve"> </t>
    </r>
    <r>
      <rPr>
        <sz val="18"/>
        <color theme="0"/>
        <rFont val="KoPubWorld돋움체 Medium"/>
        <family val="3"/>
        <charset val="129"/>
      </rPr>
      <t>작성</t>
    </r>
    <phoneticPr fontId="2" type="noConversion"/>
  </si>
  <si>
    <r>
      <t xml:space="preserve">  ◁ 차수별 목표유수율이 있다면 착수일 및 준공일은 해당 차수 준공일로 작성(ex, 1차년도 70% / 2차년도 75% 에서 1차년도 용역 수행중인 경우 착수일 / 준공일 1차년도 기준으로 작성 및 목표유수율 및 초기 유수율도 차수별로 진행)
□ 준공일을 기준으로 현재까지 잔여일 산정
□ 목표유수율 미달 또는 관리 항목 중 미달이 나오는 것에 대해서는 </t>
    </r>
    <r>
      <rPr>
        <b/>
        <sz val="18"/>
        <color rgb="FFFFFF00"/>
        <rFont val="KoPubWorld돋움체 Medium"/>
        <family val="3"/>
        <charset val="129"/>
      </rPr>
      <t>특이사항</t>
    </r>
    <r>
      <rPr>
        <sz val="18"/>
        <color theme="0"/>
        <rFont val="KoPubWorld돋움체 Medium"/>
        <family val="3"/>
        <charset val="129"/>
      </rPr>
      <t xml:space="preserve"> 및 </t>
    </r>
    <r>
      <rPr>
        <b/>
        <sz val="18"/>
        <color rgb="FFFFFF00"/>
        <rFont val="KoPubWorld돋움체 Medium"/>
        <family val="3"/>
        <charset val="129"/>
      </rPr>
      <t>개선방안</t>
    </r>
    <r>
      <rPr>
        <sz val="18"/>
        <color theme="0"/>
        <rFont val="KoPubWorld돋움체 Medium"/>
        <family val="3"/>
        <charset val="129"/>
      </rPr>
      <t xml:space="preserve"> 작성 </t>
    </r>
    <r>
      <rPr>
        <b/>
        <sz val="18"/>
        <color rgb="FFFF0000"/>
        <rFont val="KoPubWorld돋움체 Medium"/>
        <family val="3"/>
        <charset val="129"/>
      </rPr>
      <t>필수</t>
    </r>
    <phoneticPr fontId="2" type="noConversion"/>
  </si>
  <si>
    <t>초기 야간최소유량
(㎥)</t>
    <phoneticPr fontId="2" type="noConversion"/>
  </si>
  <si>
    <t>목표야간최소유량
(㎥)</t>
    <phoneticPr fontId="2" type="noConversion"/>
  </si>
  <si>
    <t>현재 야간최소유량
(㎥)</t>
    <phoneticPr fontId="2" type="noConversion"/>
  </si>
  <si>
    <t>-</t>
    <phoneticPr fontId="2" type="noConversion"/>
  </si>
  <si>
    <t>용역 중지일</t>
    <phoneticPr fontId="2" type="noConversion"/>
  </si>
  <si>
    <t>중지 해제일</t>
    <phoneticPr fontId="2" type="noConversion"/>
  </si>
  <si>
    <t>-</t>
    <phoneticPr fontId="2" type="noConversion"/>
  </si>
  <si>
    <t>O</t>
    <phoneticPr fontId="2" type="noConversion"/>
  </si>
  <si>
    <t>-</t>
    <phoneticPr fontId="2" type="noConversion"/>
  </si>
  <si>
    <t>-</t>
    <phoneticPr fontId="2" type="noConversion"/>
  </si>
  <si>
    <t>강덕호</t>
    <phoneticPr fontId="2" type="noConversion"/>
  </si>
  <si>
    <t>김경태</t>
    <phoneticPr fontId="2" type="noConversion"/>
  </si>
  <si>
    <t>문승범</t>
    <phoneticPr fontId="2" type="noConversion"/>
  </si>
  <si>
    <t>현대화사업 성과보증 대상지역
(5개 중블록 12개 소블록)
3차년도 1년 평균유수율 85%</t>
    <phoneticPr fontId="2" type="noConversion"/>
  </si>
  <si>
    <t>지방상수도 유수율관리</t>
    <phoneticPr fontId="2" type="noConversion"/>
  </si>
  <si>
    <t>조영훈</t>
    <phoneticPr fontId="2" type="noConversion"/>
  </si>
  <si>
    <t>성과대상구역 연평균 유수율 85% 달성</t>
    <phoneticPr fontId="2" type="noConversion"/>
  </si>
  <si>
    <t>성과대상외 구역 연평균 유수율 80% 달성</t>
    <phoneticPr fontId="2" type="noConversion"/>
  </si>
  <si>
    <t>현대화사업 사후관리</t>
    <phoneticPr fontId="2" type="noConversion"/>
  </si>
  <si>
    <t>홍천군 전체급수구역 유수율 85% 목표</t>
    <phoneticPr fontId="2" type="noConversion"/>
  </si>
  <si>
    <t>안종현</t>
    <phoneticPr fontId="2" type="noConversion"/>
  </si>
  <si>
    <t xml:space="preserve">성과대상구역 판정기간 평균 유수율 85% 달성 </t>
    <phoneticPr fontId="2" type="noConversion"/>
  </si>
  <si>
    <t>남성국</t>
    <phoneticPr fontId="2" type="noConversion"/>
  </si>
  <si>
    <t>1차년도_성과판정 블록 85%유지</t>
    <phoneticPr fontId="2" type="noConversion"/>
  </si>
  <si>
    <t>김덕영</t>
    <phoneticPr fontId="2" type="noConversion"/>
  </si>
  <si>
    <t>1년 평균수율 85% 유지</t>
    <phoneticPr fontId="2" type="noConversion"/>
  </si>
  <si>
    <t xml:space="preserve">관망운영 및 누수탐사 </t>
    <phoneticPr fontId="2" type="noConversion"/>
  </si>
  <si>
    <t>하재홍</t>
    <phoneticPr fontId="2" type="noConversion"/>
  </si>
  <si>
    <t xml:space="preserve">성과대상구역 판정기간 평균 유수율 85% 달성
초기유수율 산정 기준 : 착수 후 1개월 평균 </t>
    <phoneticPr fontId="2" type="noConversion"/>
  </si>
  <si>
    <t xml:space="preserve"> 후속 관망운영 및 누수탐사 </t>
    <phoneticPr fontId="2" type="noConversion"/>
  </si>
  <si>
    <t>김민호</t>
    <phoneticPr fontId="2" type="noConversion"/>
  </si>
  <si>
    <t>유지관리 및 누수탐사</t>
    <phoneticPr fontId="2" type="noConversion"/>
  </si>
  <si>
    <t>임승환</t>
    <phoneticPr fontId="2" type="noConversion"/>
  </si>
  <si>
    <t xml:space="preserve">성과대상구역 판정기간 평균 유수율 85% 달성
초기유수율 산정 기준 : 착수 전 1개월 평균 </t>
    <phoneticPr fontId="2" type="noConversion"/>
  </si>
  <si>
    <t>상수도관망
전문 유지관리 용역</t>
    <phoneticPr fontId="2" type="noConversion"/>
  </si>
  <si>
    <t>박성진</t>
    <phoneticPr fontId="2" type="noConversion"/>
  </si>
  <si>
    <t>-</t>
    <phoneticPr fontId="2" type="noConversion"/>
  </si>
  <si>
    <t>블록별 목표 유수율 조건</t>
    <phoneticPr fontId="2" type="noConversion"/>
  </si>
  <si>
    <t>- 검침원 검침 주기로 인해 유수율의 변동 큼</t>
    <phoneticPr fontId="2" type="noConversion"/>
  </si>
  <si>
    <t>유수율제고 및 구축블록 
유지관리</t>
    <phoneticPr fontId="2" type="noConversion"/>
  </si>
  <si>
    <t>홍문표</t>
    <phoneticPr fontId="2" type="noConversion"/>
  </si>
  <si>
    <t>의령</t>
    <phoneticPr fontId="2" type="noConversion"/>
  </si>
  <si>
    <t>지방상수도 현대화사업 사후관리</t>
    <phoneticPr fontId="2" type="noConversion"/>
  </si>
  <si>
    <t>이재환</t>
    <phoneticPr fontId="2" type="noConversion"/>
  </si>
  <si>
    <t>과업대상지역 목표유수율 연평균 85% 이상 유지</t>
    <phoneticPr fontId="2" type="noConversion"/>
  </si>
  <si>
    <t>경상1팀</t>
    <phoneticPr fontId="2" type="noConversion"/>
  </si>
  <si>
    <t>김해</t>
    <phoneticPr fontId="2" type="noConversion"/>
  </si>
  <si>
    <t>-</t>
    <phoneticPr fontId="2" type="noConversion"/>
  </si>
  <si>
    <t>1차년도 목표 유수율이 없으며 2차년,3차년도
목표유수율 85%</t>
    <phoneticPr fontId="2" type="noConversion"/>
  </si>
  <si>
    <t>포항</t>
    <phoneticPr fontId="2" type="noConversion"/>
  </si>
  <si>
    <t>구병순</t>
    <phoneticPr fontId="2" type="noConversion"/>
  </si>
  <si>
    <t>성과대상구역 평균 유수율 85%이상 유지</t>
    <phoneticPr fontId="2" type="noConversion"/>
  </si>
  <si>
    <t>준공 전 6개월 평균 유수율 74%이상 달성</t>
    <phoneticPr fontId="2" type="noConversion"/>
  </si>
  <si>
    <t>-</t>
    <phoneticPr fontId="2" type="noConversion"/>
  </si>
  <si>
    <t>현대화사업 성과유수율 이상 유지
 - 성과 유수율 : 88.1%</t>
    <phoneticPr fontId="2" type="noConversion"/>
  </si>
  <si>
    <t>사업 종료 년도의 6개월 평균 유수율</t>
    <phoneticPr fontId="2" type="noConversion"/>
  </si>
  <si>
    <t>상수관망 전문유지관리 용역</t>
    <phoneticPr fontId="2" type="noConversion"/>
  </si>
  <si>
    <t>김범준</t>
    <phoneticPr fontId="2" type="noConversion"/>
  </si>
  <si>
    <t>전문유지관리용역</t>
    <phoneticPr fontId="2" type="noConversion"/>
  </si>
  <si>
    <t>정선인</t>
    <phoneticPr fontId="2" type="noConversion"/>
  </si>
  <si>
    <t>현대화사업 성과유수율 이상 유지
 - 성과 유수율 : 85.0%</t>
    <phoneticPr fontId="2" type="noConversion"/>
  </si>
  <si>
    <t>경북팀</t>
    <phoneticPr fontId="2" type="noConversion"/>
  </si>
  <si>
    <t>의성</t>
    <phoneticPr fontId="2" type="noConversion"/>
  </si>
  <si>
    <t>지방상수도 현대화사업
 유지관리</t>
    <phoneticPr fontId="2" type="noConversion"/>
  </si>
  <si>
    <t>백강욱</t>
    <phoneticPr fontId="2" type="noConversion"/>
  </si>
  <si>
    <t>준공시점 이전 12개월 평균 평균 유수율 85.0%
초기 유수율 : 24년 유수율</t>
    <phoneticPr fontId="2" type="noConversion"/>
  </si>
  <si>
    <t>준공시점 이전 6개월 평균 유수율 75.0%
초기 유수율 : 24년 유수율</t>
    <phoneticPr fontId="2" type="noConversion"/>
  </si>
  <si>
    <t>- 사후관리 용역임에도 불구하고 성과평가 심의를 한국상하수도협회에서 진행
- 연차별 유수율로 되어 있는 부분을 3년차 85%로 조정 중</t>
    <phoneticPr fontId="2" type="noConversion"/>
  </si>
  <si>
    <t>김주명</t>
    <phoneticPr fontId="2" type="noConversion"/>
  </si>
  <si>
    <t>성과대상구역 판정기간 평균 85% 유지
초기 유수율 산정 : 85%</t>
    <phoneticPr fontId="2" type="noConversion"/>
  </si>
  <si>
    <t>전체</t>
    <phoneticPr fontId="2" type="noConversion"/>
  </si>
  <si>
    <t>전체 유수율 연평균 83% 유지</t>
    <phoneticPr fontId="2" type="noConversion"/>
  </si>
  <si>
    <t>-</t>
    <phoneticPr fontId="2" type="noConversion"/>
  </si>
  <si>
    <t>상수도관망 
전문유지관리용역</t>
    <phoneticPr fontId="2" type="noConversion"/>
  </si>
  <si>
    <t>- 25.08. ~ 25.10월 야간최소유량 평균값과 동절기 퇴수밸브 개방기간 야간최소유량 평균값의 차이를 통해 사용량 적용 예정</t>
    <phoneticPr fontId="2" type="noConversion"/>
  </si>
  <si>
    <t>-</t>
    <phoneticPr fontId="2" type="noConversion"/>
  </si>
  <si>
    <t>현재
유수율</t>
    <phoneticPr fontId="2" type="noConversion"/>
  </si>
  <si>
    <t>현재까지
도달 유수율</t>
    <phoneticPr fontId="2" type="noConversion"/>
  </si>
  <si>
    <t>미달현황</t>
    <phoneticPr fontId="2" type="noConversion"/>
  </si>
  <si>
    <t>용역성격</t>
    <phoneticPr fontId="2" type="noConversion"/>
  </si>
  <si>
    <t>-</t>
    <phoneticPr fontId="2" type="noConversion"/>
  </si>
  <si>
    <t>성과대상구역 판정기간 평균 유수율 85% 달성
블록별 목표유수율 조건</t>
    <phoneticPr fontId="2" type="noConversion"/>
  </si>
  <si>
    <t>- 현대화 관리 대상 지역 유수율 데이터 수정 작업
- 25.11월 유수율부터 정상데이터 확인 가능</t>
    <phoneticPr fontId="2" type="noConversion"/>
  </si>
  <si>
    <t>과업 종료시 각소블록 별 3개월 평균 83% 달성</t>
    <phoneticPr fontId="2" type="noConversion"/>
  </si>
  <si>
    <t>유수율
산정</t>
    <phoneticPr fontId="2" type="noConversion"/>
  </si>
  <si>
    <t>유수율 대상
소블록</t>
    <phoneticPr fontId="2" type="noConversion"/>
  </si>
  <si>
    <t>블록구축
완료</t>
    <phoneticPr fontId="2" type="noConversion"/>
  </si>
  <si>
    <t>목표유수율
달성 소블록</t>
    <phoneticPr fontId="2" type="noConversion"/>
  </si>
  <si>
    <t>유수율 100%
상회 블록</t>
    <phoneticPr fontId="2" type="noConversion"/>
  </si>
  <si>
    <t>16개소 목표 미달</t>
    <phoneticPr fontId="2" type="noConversion"/>
  </si>
  <si>
    <t>이성국</t>
    <phoneticPr fontId="2" type="noConversion"/>
  </si>
  <si>
    <t>-</t>
    <phoneticPr fontId="2" type="noConversion"/>
  </si>
  <si>
    <t>- 12월 혼재유량계 비교유량  측정결과 -5% 오차 확인(현 검교정 완료)
- 사업대상지 외지역으로 나가는 유량으로 유량이 많을 수록 유수율이 높음.</t>
    <phoneticPr fontId="2" type="noConversion"/>
  </si>
  <si>
    <t>-  미수리 16개소로 누수수리 시 유수율 상승 예상</t>
    <phoneticPr fontId="2" type="noConversion"/>
  </si>
  <si>
    <t>25.12월</t>
    <phoneticPr fontId="2" type="noConversion"/>
  </si>
  <si>
    <t>성과대상구역 판정기간 평균 유수율 85% 달성
초기유수율 산정 기준 : 착수 전 2개월 평균 
준공시 총괄 유수율 적용 협의 완료
(관리는 블록별로 진행)</t>
    <phoneticPr fontId="2" type="noConversion"/>
  </si>
  <si>
    <t>- 성과판정일 목표유수율 도달 가시화 시점으로 변경
  → 26.05월 이후로 계획 중</t>
    <phoneticPr fontId="2" type="noConversion"/>
  </si>
  <si>
    <t>-  11월 유수율 83.1% 목표유수율 도달에 따라 지속적 관리 필요</t>
    <phoneticPr fontId="2" type="noConversion"/>
  </si>
  <si>
    <t>무안</t>
    <phoneticPr fontId="2" type="noConversion"/>
  </si>
  <si>
    <t>황은욱</t>
    <phoneticPr fontId="2" type="noConversion"/>
  </si>
  <si>
    <t>3차년도 12개월 평균</t>
    <phoneticPr fontId="2" type="noConversion"/>
  </si>
  <si>
    <t>- 소블록 개별 유수율이 아닌 4개 소블록 평균유수율로 감독관과 협의(구두)</t>
    <phoneticPr fontId="2" type="noConversion"/>
  </si>
  <si>
    <t>- 3년차 최종 유수율 목표에 대한 협의 및 문서 작성 중</t>
    <phoneticPr fontId="2" type="noConversion"/>
  </si>
  <si>
    <t>12개소 목표 미달</t>
    <phoneticPr fontId="2" type="noConversion"/>
  </si>
  <si>
    <t xml:space="preserve">- 발주처 3차분 예산 미확보로 2차분 180일 용역 중지 </t>
    <phoneticPr fontId="2" type="noConversion"/>
  </si>
  <si>
    <t>- 야간 최소 유량 분석으로 특이사항 발생 시 누수탐사 진행</t>
    <phoneticPr fontId="2" type="noConversion"/>
  </si>
  <si>
    <t>- 중블록간 경계해재(시종[종속배수지 행정],군서)
- 수질이상 과업 외 지역(신북배수지) 급수진행 중 유수율 값 상이
- 년도별 목표 설정(26년 : 60% / 27년 : 70% / 28년 : 85%)</t>
    <phoneticPr fontId="2" type="noConversion"/>
  </si>
  <si>
    <t>강릉</t>
    <phoneticPr fontId="2" type="noConversion"/>
  </si>
  <si>
    <t>강현욱</t>
    <phoneticPr fontId="2" type="noConversion"/>
  </si>
  <si>
    <t>-</t>
    <phoneticPr fontId="2" type="noConversion"/>
  </si>
  <si>
    <t>블록별 목표 유수율 조건 
연차별 설정 변경 후 조건 달성</t>
    <phoneticPr fontId="2" type="noConversion"/>
  </si>
  <si>
    <t>- 소블록 유량계 미설치 및 미통신으로 인해 중블록 단위 유수율 산정
- 중블록 단위 유수율 및 특이사항 지속 검토</t>
    <phoneticPr fontId="2" type="noConversion"/>
  </si>
  <si>
    <t>1년 평균수율 61.5% 유지</t>
    <phoneticPr fontId="2" type="noConversion"/>
  </si>
  <si>
    <t>장수</t>
    <phoneticPr fontId="2" type="noConversion"/>
  </si>
  <si>
    <t>상수관망 유지관리 및 기술진단</t>
    <phoneticPr fontId="2" type="noConversion"/>
  </si>
  <si>
    <t>장규현</t>
    <phoneticPr fontId="2" type="noConversion"/>
  </si>
  <si>
    <t xml:space="preserve">3차년도 평균 유수율 85% 이상 </t>
    <phoneticPr fontId="2" type="noConversion"/>
  </si>
  <si>
    <t>- 유수율 및 경계밸브 조사시 블록고립이 해제되어 있는 것으로 확인
  → 26.02. ~ 26.04. 블록고립 계획 중이며, 완료 이후 초기 유수율 산정
  → 블록고립 확인 후 3개월간의 평균 유수율을 초기 유수율로 산정</t>
    <phoneticPr fontId="2" type="noConversion"/>
  </si>
  <si>
    <t>26.01월</t>
    <phoneticPr fontId="2" type="noConversion"/>
  </si>
  <si>
    <t>10.3% 미달</t>
    <phoneticPr fontId="2" type="noConversion"/>
  </si>
  <si>
    <t>- 25.12월 동절기 퇴수밸브 개방 진행으로 25.11 ~ 26.03월 까지 유수율 하락 예상
- 25.12월 전체 유수율 78%, 부과량 수정 및 퇴수량 적용 후 약 84% 예상</t>
    <phoneticPr fontId="2" type="noConversion"/>
  </si>
  <si>
    <t>- 성과판정 기간 : 25-08-22 ~ 26-09-05
- 영암 중블록 유수율 급격한 하락</t>
    <phoneticPr fontId="2" type="noConversion"/>
  </si>
  <si>
    <t>-25.12월 중블록 경계차단 : 시종-군서, 신북(과업 외 지역) 유량계 설치 및 발주진행 중
- 상반기 소블록 고립확인 추진 및 소블록 내 구역 유량계 활용 계획(구역별 고립확인 추진단계)
- 누수탐사지속진행 및 누수복구 지연 관련 발주처 재촉 및 협조 요청</t>
    <phoneticPr fontId="2" type="noConversion"/>
  </si>
  <si>
    <t>-</t>
    <phoneticPr fontId="2" type="noConversion"/>
  </si>
  <si>
    <t>- 사용량 인정부과 및 동절기 퇴수로 인한 유수율 저조</t>
    <phoneticPr fontId="2" type="noConversion"/>
  </si>
  <si>
    <t>- 이토수량 증가로 1월 유수율 하락(이토수량, 검침량 확인 중)</t>
    <phoneticPr fontId="2" type="noConversion"/>
  </si>
  <si>
    <t>전창엽</t>
    <phoneticPr fontId="2" type="noConversion"/>
  </si>
  <si>
    <t>-유수율 및 야간최소유량 모니터링을 통해 지속적인 누수탐사 실시 예정
  (이전에는 매일 야간최소유량 모니터링을 실시하였으나, 현재 본부측의 VPN 계약 지연으로 인해 타지역 IP에서 접속 가능하던 모니터링 사이트에 접속이 불가한 상황임_본부에서 VPN 재계약 예정)
-104% 초과블록 → 509블록 공급량 전달과 비교하여 15,000㎥ 감소(유량계 점검 요청)
- 70% 미만 블록 → 525블록 단계시험 계획(3월)
-26.01월 누수수리 13건</t>
    <phoneticPr fontId="2" type="noConversion"/>
  </si>
  <si>
    <t>-유수율 및 야간최소유량 모니터링을 통해 지속적인 누수탐사 실시 예정
  (이전에는 매일 야간최소유량 모니터링을 실시하였으나, 현재 본부측의 VPN 계약 지연으로 인해 타지역 IP에서 접속 가능하던 모니터링 사이트에 접속이 불가한 상황임_본부에서 VPN 재계약 예정)
-26.01월 누수적출 11건, 수리 11건</t>
    <phoneticPr fontId="2" type="noConversion"/>
  </si>
  <si>
    <t>강원팀</t>
    <phoneticPr fontId="2" type="noConversion"/>
  </si>
  <si>
    <t>6.5% 미달</t>
    <phoneticPr fontId="2" type="noConversion"/>
  </si>
  <si>
    <t>26개소 목표 미달</t>
    <phoneticPr fontId="2" type="noConversion"/>
  </si>
  <si>
    <t>36개소 목표 미달</t>
    <phoneticPr fontId="2" type="noConversion"/>
  </si>
  <si>
    <t>77개소 목표 미달</t>
    <phoneticPr fontId="2" type="noConversion"/>
  </si>
  <si>
    <t>배수민</t>
    <phoneticPr fontId="2" type="noConversion"/>
  </si>
  <si>
    <t>김보성</t>
    <phoneticPr fontId="2" type="noConversion"/>
  </si>
  <si>
    <t>김용천</t>
    <phoneticPr fontId="2" type="noConversion"/>
  </si>
  <si>
    <t>이창용</t>
    <phoneticPr fontId="2" type="noConversion"/>
  </si>
  <si>
    <t>경기팀</t>
    <phoneticPr fontId="2" type="noConversion"/>
  </si>
  <si>
    <t>경강팀</t>
    <phoneticPr fontId="2" type="noConversion"/>
  </si>
  <si>
    <t>- 유수율 저조 블록에 대한 단계시험 진행 중
- 영암 중블록에 대한 주·야간 집중누수탐사 실시
- 영암2~5 유량계 검교정 요청, 검교정 진행 시 영암1 유출 유량 비교유량 측정
- 영암4,5,6 야간단계시험 계획 및 실시
- 삼호5 누수의심 구간 부단수 밸브 설치 예정</t>
    <phoneticPr fontId="2" type="noConversion"/>
  </si>
  <si>
    <t>- 동절기 누수발생으로 인한 탐사 실시, 명절 이후 누수복구 완료
  → 2월 유수율 소폭 상승 및 3월 유수율 상승 예상</t>
    <phoneticPr fontId="2" type="noConversion"/>
  </si>
  <si>
    <t>- 공사시 회색 PVC 관로 발견되면 전량 PE관으로 교체, 불용관 의심관로 철거 철저
- 봉성-3블록 노후관로 강관250 관로교체
- 창선-1블록 누수다발관 PE750 관로교체</t>
    <phoneticPr fontId="2" type="noConversion"/>
  </si>
  <si>
    <t>- BY 소블록 유량계 고장으로 25.12, 26.01월 정수장 유출자료로 유수율 산정</t>
    <phoneticPr fontId="2" type="noConversion"/>
  </si>
  <si>
    <t xml:space="preserve">- 3차년도(25.06 ~ 26.01) 평균유수율 현황 : 83.2%
- 중블록 유량계를 통해 유수율 산정 </t>
    <phoneticPr fontId="2" type="noConversion"/>
  </si>
  <si>
    <t>- 3차년도(25.06 ~ 26.01) 평균유수율 현황 : 84.9%</t>
    <phoneticPr fontId="2" type="noConversion"/>
  </si>
  <si>
    <t xml:space="preserve">- 3차년도(25.06 ~ 26.01) 평균유수율 현황 : 80.5%
- 중블록 유량계를 통해 유수율 산정 </t>
    <phoneticPr fontId="2" type="noConversion"/>
  </si>
  <si>
    <t>- 누수탐사 공정에서 계획대비 성과 낮은 이유는 1, 2차년도 집중누수탐사로 유수율 향상이후 야간최소유량 변동이 적고, 누수 발생 빈도가 낮음
- 85% 미만 블록 : 금성, 강동, 신호 중블록
 → 금성 : 26.01.06일 유량계 이상으로 교정 및 본관 150mm 누수수리 완료
 → 신호 : DH-1 블록 경계 유량계 고장으로 공급량 산정 불가, 교체 요청 완료
 → 강동 : 유출유량계 바로 전단에 가압장이 있어 유량값 오차가 커서 유량계 위치 이동 완료</t>
    <phoneticPr fontId="2" type="noConversion"/>
  </si>
  <si>
    <t>26.02월</t>
    <phoneticPr fontId="2" type="noConversion"/>
  </si>
  <si>
    <t>블록별</t>
    <phoneticPr fontId="2" type="noConversion"/>
  </si>
  <si>
    <t>- 현대화 사업 미준공 상태
- 교동2 블록 경계 풀림
- 교동4 경계 차단 및 고립확인 실시 → 결과 확인 중</t>
    <phoneticPr fontId="2" type="noConversion"/>
  </si>
  <si>
    <t>- 사업소 보고완료 월간공정 보고시 공문처리 예정
- 검교정 후 88.1% 이상 유지</t>
    <phoneticPr fontId="2" type="noConversion"/>
  </si>
  <si>
    <t>- 유수율 산정 기간 사업소와 조율 중</t>
    <phoneticPr fontId="2" type="noConversion"/>
  </si>
  <si>
    <t>- 중블록별 목표유수율 기준, 목표유수율 미달성에 대한 원인 사업소 보고 필요</t>
    <phoneticPr fontId="2" type="noConversion"/>
  </si>
  <si>
    <t>-409블록(구축- 26.01월 야간최소 약75㎥/h, 주야간 상가 밀집지역)
  →1월 누수 적출 2건, 2월 누수 적출 1건, 수리3건
현재도 주야간 누수탐사를 지속적으로 진행 중이며, 이전 타 용역사에서 수행한 고립 결과서를 참조하여 경계밸브 재조사를 통해 공급지역 재확인하고 유량계 점검을 요청함. 또한 누수탐사 시 확인조사를 병행하고 있으나, 노면 미끄럼방지 코팅 구간으로 인해 누수 위치를 명확히 특정하는 데 어려움이 있는 상황임.
-411, 413, 425, 434, 438블록(구축)
  →12월부터 유량 데이터 없음, 2월초 수리완료, 2월유수율 분석시 확인예정
-415블록(고립미실시)
  →확인터파기 결과, 해당 구역 인입에 미상 관로 다수 확인되어 추후 관로탐지기 활용하여 관로노선 확인조사 예정 
-421, 427블록(구축)
  →야간최소유량 증가 패턴 없으며, 사용량이 적은 블록들로 대수용가 검침일자 및 공급일 차이에 따른 변동 확인
-417블록(구축-26.01월 야간최소 약61㎥/h(전달대비 약 9㎥/h 상승)
  →영흥도의 특성상 블록 일부분 가압장이 5개 있으며, 누수탐사 예정
-429블록(미구축-고립실시완료)
  →429-1 데이터 정상, 429-2 관세척 선행 되야하고, 유량계 신설 및 유입경로 변경예정(세척은 수질팀에서)
-431블록(미구축-고립미실시(대수용가 150개)
   →431-1,431-2 데이터 정상, 431-3 경계청 측 부지매각 진행 중
-432블록(미구축-고립실시완료)
   →432-1,-2,-3,-4 25년12월 유량계 신설완료
      432-1,-3,-4 데이터 정상, 432-2 관세척 선행 되야하고, 유량계 신설 및 유입경로 변경예정(세척은 수질팀에서)
-433블록(미구축-고립실시완료)
   →433-1,433-2 데이터 정상, 433-3 관세척 선행 되야하고, 유량계 신설 및 유입경로 변경예정(세척은 수질팀에서)
-443블록(미구축)
   →아암물류2단지 관련 부지 일부를 이관받은 상태로, 해당 구역은 항만공사·해수부·경제청·본부·사업소 등 다수 기관이 관련되어 있음.
현재 상수관망 자료를 수령하였으며, 이를 바탕으로 현장조사를 실시할 예정임.
-430블록(해제)
   →송도역세권 재개발 구역으로 블록 해제</t>
    <phoneticPr fontId="2" type="noConversion"/>
  </si>
  <si>
    <t>-502블록_1월 유량데이터 불량으로 점검
  →유량계 케이블 누전으로 2월 중 조치 예정, 누수탐사 실시
-505블록_25.12월 야간최소 약66㎥/h, 26.1월 야간최소 약70㎥/h
  →만수동 68-1 일대 다발관 정비 검토(담당 주무관과 협의 예정)_수리 1건
-506블록_25.12월 야간최소 약66㎥/h, 26.1월 야간최소 약72㎥/h
  →노후관 및 누수다발관 선정(757m)_포장기간으로 제외
-508블록_25.12월 야간최소 약64㎥/h, 26.1월 야간최소 약70㎥/h
  →누수탐사를 통해 55㎥/h까지 저감목표_1월 수리 1건 완료
-509블록_11월 부터 유수율 104%초과
  →유량계 점검 결과 이상없음, 경계밸브 조사 예정
-511블록(미구축)
  →유량계 신설을 위한 확인터파기 예정(블록정비 업체, 담당주무관 확인)
-517블록_25.12월 야간최소 약92㎥/h, 26.1월 야간최소 약92㎥/h
  →2차년도 단계시험 계획(부분고립)
-519블록_25.12월 야간최소 약17㎥/h, 26.1월 야간최소 약18㎥/h
  →2차년도 단계시험 계획
-525블록_십정1,2동 재개발 지역 북부수도사업소 이관 협의 중
  →재개발 지역 대상으로 단계시험 계획(감독관 협의완)
-539블록(해제)_552블록과 연계하여 블록경계 재선정 계획(감독관 협의완)
-547,548,549,551블록(남동공단_미고립)
  →블록분할 및 블록정비 후 고립확인 예정
-552블록(미구축)_첨단산업단지 재개발 지역 공사 완료 후 구축 예정
-인천 특성상 100% 초과~104%미만은 검침일자 및 공급일 차이에 따른 변동 반영 인정
  →따라서 104%초과, 미구축, 해제, 산정불가 블록은 유수율 70%로 보정값 적용</t>
    <phoneticPr fontId="2" type="noConversion"/>
  </si>
  <si>
    <t>- 과업기간 내 누수탐사 물량 수행 및 목표유수율 달성 시 준공 가능
- 각화2-4 소블록 유수율 저조 관련 점검
- 산수1, 월산2-8, 송하13 소블록 유수율 100% 초과
- 1월 유수율 저조 : 동절기 야간최소유량 상승</t>
    <phoneticPr fontId="2" type="noConversion"/>
  </si>
  <si>
    <t>- 필요시 과업기간까지 누수관리 후 일시중지하여 유수율 판정기간 소요 필요
- 26.03.04 본부 협의 후 각화2-4 소블록 유량계 영점 교정 완료
  → 경계밸브 차단 진행완료(26.03.11), 야간최소유량 변동 중(80㎥/hr → 40㎥/hr)
- 산수1 : 경계밸브 2개소 개방 확인, 협의 후 차단예정
  월산2-8 : 경계밸브 12월 차단완료, 1월 유수율 109.5%로 2월 유수율까지 확인 예정
  송하13 : 기아자동차 사용량에 의한 상승 예상, 경계밸브 점검 검토 중
- 1월 이후 야간최소유량 저감, 이후 유수율 모니터링 중</t>
    <phoneticPr fontId="2" type="noConversion"/>
  </si>
  <si>
    <t>- SA01 블록, 중앙5블록 유수율 미달</t>
    <phoneticPr fontId="2" type="noConversion"/>
  </si>
  <si>
    <t>- 지속적인 누수탐사 및 단계시험 실시예정
- 과업지시서 내용으로 정비대상관로 선정 제시, 정비공사 미실시로 인한 누수량은 단계시험으로 누수량 산정하여 해당 누수량은 공급량에서 제외</t>
    <phoneticPr fontId="2" type="noConversion"/>
  </si>
  <si>
    <t>- 성과판정 초기 검침 완료(9,518전)
- 성과판정 기간 : 25-09-15 ~ 26-09-15</t>
    <phoneticPr fontId="2" type="noConversion"/>
  </si>
  <si>
    <t>- 1월 유수율 분석 : 81.0%(성과보증 5개월 누적 : 84.9%)</t>
    <phoneticPr fontId="2" type="noConversion"/>
  </si>
  <si>
    <t>- 라-3, 라-9블록 집중 누수탐사 실시 예정
- 야간최소유량 상승블록 집중 관리</t>
    <phoneticPr fontId="2" type="noConversion"/>
  </si>
  <si>
    <t>박정훈</t>
    <phoneticPr fontId="2" type="noConversion"/>
  </si>
  <si>
    <t>-</t>
    <phoneticPr fontId="2" type="noConversion"/>
  </si>
  <si>
    <t>- 2,3년차 유수율 85%이상
- 화천다리 공사로 인하여 유량계 전원이 나가있는 상태 공급량 판단이 안되는 상황 화천2,3,4블록 유수율 판단 불가(26.03월 중순 수리 예정)
- 누수복구 미수리 : 5개소</t>
    <phoneticPr fontId="2" type="noConversion"/>
  </si>
  <si>
    <t>- YS-14 잔여 관망정비 공사를 통해 목표유수율 도달 및 유지 가능
- YS-14 저지대 감압 계획</t>
    <phoneticPr fontId="2" type="noConversion"/>
  </si>
  <si>
    <t>11.2% 미달</t>
    <phoneticPr fontId="2" type="noConversion"/>
  </si>
  <si>
    <t>6.8% 미달</t>
    <phoneticPr fontId="2" type="noConversion"/>
  </si>
  <si>
    <t>4.4% 미달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</si>
</sst>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0.0%"/>
    <numFmt numFmtId="177" formatCode="##&quot;일&quot;"/>
    <numFmt numFmtId="178" formatCode="##,###&quot;㎥&quot;"/>
    <numFmt numFmtId="179" formatCode="#,###&quot;㎥&quot;"/>
    <numFmt numFmtId="180" formatCode="###&quot;개&quot;&quot;소&quot;"/>
    <numFmt numFmtId="181" formatCode="##&quot;개&quot;&quot;소&quot;"/>
    <numFmt numFmtId="182" formatCode="###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KoPubWorld돋움체 Medium"/>
      <family val="3"/>
      <charset val="129"/>
    </font>
    <font>
      <b/>
      <sz val="11"/>
      <color theme="1"/>
      <name val="KoPubWorld돋움체 Medium"/>
      <family val="3"/>
      <charset val="129"/>
    </font>
    <font>
      <sz val="11"/>
      <color theme="0"/>
      <name val="KoPubWorld돋움체 Medium"/>
      <family val="3"/>
      <charset val="129"/>
    </font>
    <font>
      <b/>
      <sz val="11"/>
      <color theme="0"/>
      <name val="KoPubWorld돋움체 Medium"/>
      <family val="3"/>
      <charset val="129"/>
    </font>
    <font>
      <b/>
      <sz val="12"/>
      <color theme="1"/>
      <name val="KoPubWorld돋움체 Medium"/>
      <family val="3"/>
      <charset val="129"/>
    </font>
    <font>
      <b/>
      <sz val="14"/>
      <color theme="1"/>
      <name val="KoPubWorld돋움체 Medium"/>
      <family val="3"/>
      <charset val="129"/>
    </font>
    <font>
      <sz val="14"/>
      <color theme="1"/>
      <name val="KoPubWorld돋움체 Medium"/>
      <family val="3"/>
      <charset val="129"/>
    </font>
    <font>
      <b/>
      <sz val="14"/>
      <color theme="0"/>
      <name val="KoPubWorld돋움체 Medium"/>
      <family val="3"/>
      <charset val="129"/>
    </font>
    <font>
      <b/>
      <sz val="14"/>
      <name val="KoPubWorld돋움체 Medium"/>
      <family val="3"/>
      <charset val="129"/>
    </font>
    <font>
      <b/>
      <sz val="36"/>
      <color theme="0"/>
      <name val="KoPubWorld돋움체 Bold"/>
      <family val="3"/>
      <charset val="129"/>
    </font>
    <font>
      <sz val="18"/>
      <color theme="0"/>
      <name val="KoPubWorld돋움체 Medium"/>
      <family val="3"/>
      <charset val="129"/>
    </font>
    <font>
      <b/>
      <sz val="18"/>
      <color theme="0"/>
      <name val="KoPubWorld돋움체 Medium"/>
      <family val="3"/>
      <charset val="129"/>
    </font>
    <font>
      <b/>
      <sz val="18"/>
      <color rgb="FFFFFF00"/>
      <name val="KoPubWorld돋움체 Medium"/>
      <family val="3"/>
      <charset val="129"/>
    </font>
    <font>
      <sz val="18"/>
      <color rgb="FFFFFF00"/>
      <name val="KoPubWorld돋움체 Medium"/>
      <family val="3"/>
      <charset val="129"/>
    </font>
    <font>
      <b/>
      <sz val="18"/>
      <color rgb="FFFF0000"/>
      <name val="KoPubWorld돋움체 Medium"/>
      <family val="3"/>
      <charset val="129"/>
    </font>
    <font>
      <sz val="14"/>
      <name val="KoPubWorld돋움체 Medium"/>
      <family val="3"/>
      <charset val="129"/>
    </font>
    <font>
      <sz val="14"/>
      <color rgb="FFFF0000"/>
      <name val="KoPubWorld돋움체 Medium"/>
      <family val="3"/>
      <charset val="129"/>
    </font>
    <font>
      <b/>
      <sz val="15"/>
      <color indexed="81"/>
      <name val="돋움"/>
      <family val="3"/>
      <charset val="129"/>
    </font>
    <font>
      <b/>
      <sz val="15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89">
    <xf numFmtId="0" fontId="0" fillId="0" borderId="0" xfId="0">
      <alignment vertical="center"/>
    </xf>
    <xf numFmtId="0" fontId="7" fillId="3" borderId="9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41" fontId="9" fillId="0" borderId="2" xfId="1" applyFont="1" applyBorder="1" applyAlignment="1">
      <alignment horizontal="center" vertical="center"/>
    </xf>
    <xf numFmtId="179" fontId="9" fillId="0" borderId="12" xfId="0" applyNumberFormat="1" applyFont="1" applyBorder="1" applyAlignment="1">
      <alignment horizontal="center" vertical="center"/>
    </xf>
    <xf numFmtId="0" fontId="9" fillId="0" borderId="5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76" fontId="10" fillId="11" borderId="42" xfId="0" applyNumberFormat="1" applyFont="1" applyFill="1" applyBorder="1" applyAlignment="1">
      <alignment horizontal="center" vertical="center"/>
    </xf>
    <xf numFmtId="14" fontId="11" fillId="12" borderId="3" xfId="0" applyNumberFormat="1" applyFont="1" applyFill="1" applyBorder="1" applyAlignment="1">
      <alignment horizontal="center" vertical="center"/>
    </xf>
    <xf numFmtId="0" fontId="11" fillId="12" borderId="26" xfId="0" applyFont="1" applyFill="1" applyBorder="1" applyAlignment="1">
      <alignment horizontal="center" vertical="center"/>
    </xf>
    <xf numFmtId="0" fontId="9" fillId="12" borderId="24" xfId="0" applyFont="1" applyFill="1" applyBorder="1" applyAlignment="1">
      <alignment horizontal="center" vertical="center"/>
    </xf>
    <xf numFmtId="0" fontId="9" fillId="12" borderId="20" xfId="0" applyFont="1" applyFill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76" fontId="9" fillId="0" borderId="23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179" fontId="9" fillId="0" borderId="23" xfId="0" applyNumberFormat="1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0" fillId="11" borderId="49" xfId="0" applyFont="1" applyFill="1" applyBorder="1" applyAlignment="1">
      <alignment horizontal="center" vertical="center"/>
    </xf>
    <xf numFmtId="0" fontId="9" fillId="12" borderId="13" xfId="0" applyFont="1" applyFill="1" applyBorder="1" applyAlignment="1">
      <alignment horizontal="center" vertical="center"/>
    </xf>
    <xf numFmtId="0" fontId="9" fillId="12" borderId="14" xfId="0" applyFont="1" applyFill="1" applyBorder="1" applyAlignment="1">
      <alignment horizontal="center" vertical="center"/>
    </xf>
    <xf numFmtId="0" fontId="9" fillId="12" borderId="15" xfId="0" applyFont="1" applyFill="1" applyBorder="1" applyAlignment="1">
      <alignment horizontal="center" vertical="center"/>
    </xf>
    <xf numFmtId="0" fontId="9" fillId="12" borderId="49" xfId="0" applyFont="1" applyFill="1" applyBorder="1" applyAlignment="1">
      <alignment horizontal="center" vertical="center"/>
    </xf>
    <xf numFmtId="176" fontId="9" fillId="0" borderId="5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12" borderId="26" xfId="0" applyFont="1" applyFill="1" applyBorder="1" applyAlignment="1">
      <alignment horizontal="center" vertical="center"/>
    </xf>
    <xf numFmtId="0" fontId="9" fillId="12" borderId="42" xfId="0" applyFont="1" applyFill="1" applyBorder="1" applyAlignment="1">
      <alignment horizontal="center" vertical="center"/>
    </xf>
    <xf numFmtId="0" fontId="6" fillId="11" borderId="0" xfId="0" applyFont="1" applyFill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2" fillId="11" borderId="0" xfId="0" applyFont="1" applyFill="1">
      <alignment vertical="center"/>
    </xf>
    <xf numFmtId="0" fontId="5" fillId="13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39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34" xfId="0" applyBorder="1">
      <alignment vertical="center"/>
    </xf>
    <xf numFmtId="0" fontId="0" fillId="0" borderId="31" xfId="0" applyBorder="1">
      <alignment vertical="center"/>
    </xf>
    <xf numFmtId="0" fontId="0" fillId="0" borderId="35" xfId="0" applyBorder="1">
      <alignment vertical="center"/>
    </xf>
    <xf numFmtId="176" fontId="9" fillId="0" borderId="22" xfId="0" applyNumberFormat="1" applyFont="1" applyBorder="1" applyAlignment="1">
      <alignment horizontal="center" vertical="center"/>
    </xf>
    <xf numFmtId="0" fontId="9" fillId="0" borderId="22" xfId="1" applyNumberFormat="1" applyFont="1" applyBorder="1" applyAlignment="1">
      <alignment horizontal="center" vertical="center"/>
    </xf>
    <xf numFmtId="176" fontId="8" fillId="12" borderId="18" xfId="2" applyNumberFormat="1" applyFont="1" applyFill="1" applyBorder="1" applyAlignment="1">
      <alignment horizontal="center" vertical="center"/>
    </xf>
    <xf numFmtId="176" fontId="8" fillId="12" borderId="19" xfId="2" applyNumberFormat="1" applyFont="1" applyFill="1" applyBorder="1" applyAlignment="1">
      <alignment horizontal="center" vertical="center"/>
    </xf>
    <xf numFmtId="14" fontId="18" fillId="12" borderId="14" xfId="0" applyNumberFormat="1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41" fontId="8" fillId="12" borderId="19" xfId="1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" xfId="0" applyFont="1" applyFill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77" fontId="9" fillId="12" borderId="3" xfId="0" applyNumberFormat="1" applyFont="1" applyFill="1" applyBorder="1" applyAlignment="1">
      <alignment horizontal="center" vertical="center"/>
    </xf>
    <xf numFmtId="41" fontId="9" fillId="0" borderId="22" xfId="1" applyFont="1" applyBorder="1" applyAlignment="1">
      <alignment horizontal="center" vertical="center"/>
    </xf>
    <xf numFmtId="14" fontId="9" fillId="0" borderId="22" xfId="0" applyNumberFormat="1" applyFont="1" applyBorder="1" applyAlignment="1">
      <alignment horizontal="center" vertical="center"/>
    </xf>
    <xf numFmtId="176" fontId="8" fillId="12" borderId="20" xfId="2" applyNumberFormat="1" applyFont="1" applyFill="1" applyBorder="1" applyAlignment="1">
      <alignment horizontal="center" vertical="center"/>
    </xf>
    <xf numFmtId="0" fontId="19" fillId="12" borderId="42" xfId="0" applyFont="1" applyFill="1" applyBorder="1" applyAlignment="1">
      <alignment horizontal="center" vertical="center"/>
    </xf>
    <xf numFmtId="181" fontId="9" fillId="0" borderId="37" xfId="1" applyNumberFormat="1" applyFont="1" applyBorder="1" applyAlignment="1">
      <alignment horizontal="center" vertical="center"/>
    </xf>
    <xf numFmtId="181" fontId="9" fillId="0" borderId="23" xfId="1" applyNumberFormat="1" applyFont="1" applyBorder="1" applyAlignment="1">
      <alignment horizontal="center" vertical="center"/>
    </xf>
    <xf numFmtId="181" fontId="9" fillId="0" borderId="22" xfId="1" applyNumberFormat="1" applyFont="1" applyBorder="1" applyAlignment="1">
      <alignment horizontal="center" vertical="center"/>
    </xf>
    <xf numFmtId="182" fontId="9" fillId="12" borderId="3" xfId="0" applyNumberFormat="1" applyFont="1" applyFill="1" applyBorder="1" applyAlignment="1">
      <alignment horizontal="center" vertical="center"/>
    </xf>
    <xf numFmtId="0" fontId="10" fillId="11" borderId="42" xfId="0" applyFont="1" applyFill="1" applyBorder="1" applyAlignment="1">
      <alignment horizontal="center" vertical="center"/>
    </xf>
    <xf numFmtId="14" fontId="18" fillId="12" borderId="3" xfId="0" applyNumberFormat="1" applyFont="1" applyFill="1" applyBorder="1" applyAlignment="1">
      <alignment horizontal="center" vertical="center"/>
    </xf>
    <xf numFmtId="0" fontId="18" fillId="12" borderId="24" xfId="0" applyFont="1" applyFill="1" applyBorder="1" applyAlignment="1">
      <alignment horizontal="center" vertical="center"/>
    </xf>
    <xf numFmtId="0" fontId="9" fillId="12" borderId="25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181" fontId="9" fillId="0" borderId="2" xfId="1" applyNumberFormat="1" applyFont="1" applyBorder="1" applyAlignment="1">
      <alignment horizontal="center" vertical="center"/>
    </xf>
    <xf numFmtId="181" fontId="9" fillId="0" borderId="54" xfId="1" applyNumberFormat="1" applyFont="1" applyBorder="1" applyAlignment="1">
      <alignment horizontal="center" vertical="center"/>
    </xf>
    <xf numFmtId="181" fontId="9" fillId="0" borderId="12" xfId="1" applyNumberFormat="1" applyFont="1" applyBorder="1" applyAlignment="1">
      <alignment horizontal="center" vertical="center"/>
    </xf>
    <xf numFmtId="176" fontId="9" fillId="0" borderId="37" xfId="2" applyNumberFormat="1" applyFont="1" applyBorder="1" applyAlignment="1">
      <alignment horizontal="center" vertical="center"/>
    </xf>
    <xf numFmtId="177" fontId="9" fillId="12" borderId="42" xfId="0" applyNumberFormat="1" applyFont="1" applyFill="1" applyBorder="1" applyAlignment="1">
      <alignment horizontal="center" vertical="center"/>
    </xf>
    <xf numFmtId="14" fontId="9" fillId="0" borderId="54" xfId="0" applyNumberFormat="1" applyFont="1" applyBorder="1" applyAlignment="1">
      <alignment horizontal="center" vertical="center"/>
    </xf>
    <xf numFmtId="176" fontId="9" fillId="0" borderId="12" xfId="0" applyNumberFormat="1" applyFont="1" applyBorder="1" applyAlignment="1">
      <alignment horizontal="center" vertical="center"/>
    </xf>
    <xf numFmtId="176" fontId="8" fillId="12" borderId="46" xfId="2" applyNumberFormat="1" applyFont="1" applyFill="1" applyBorder="1" applyAlignment="1">
      <alignment horizontal="center" vertical="center"/>
    </xf>
    <xf numFmtId="176" fontId="8" fillId="12" borderId="47" xfId="2" applyNumberFormat="1" applyFont="1" applyFill="1" applyBorder="1" applyAlignment="1">
      <alignment horizontal="center" vertical="center"/>
    </xf>
    <xf numFmtId="176" fontId="8" fillId="12" borderId="52" xfId="2" applyNumberFormat="1" applyFont="1" applyFill="1" applyBorder="1" applyAlignment="1">
      <alignment horizontal="center" vertical="center"/>
    </xf>
    <xf numFmtId="0" fontId="9" fillId="12" borderId="48" xfId="0" applyFont="1" applyFill="1" applyBorder="1" applyAlignment="1">
      <alignment horizontal="center" vertical="center"/>
    </xf>
    <xf numFmtId="176" fontId="10" fillId="11" borderId="49" xfId="0" applyNumberFormat="1" applyFont="1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176" fontId="3" fillId="0" borderId="64" xfId="0" applyNumberFormat="1" applyFont="1" applyBorder="1" applyAlignment="1">
      <alignment horizontal="center" vertical="center"/>
    </xf>
    <xf numFmtId="0" fontId="3" fillId="10" borderId="64" xfId="0" applyFont="1" applyFill="1" applyBorder="1" applyAlignment="1">
      <alignment horizontal="center" vertical="center"/>
    </xf>
    <xf numFmtId="0" fontId="3" fillId="10" borderId="64" xfId="0" applyFont="1" applyFill="1" applyBorder="1" applyAlignment="1">
      <alignment horizontal="center" vertical="center" wrapText="1"/>
    </xf>
    <xf numFmtId="0" fontId="3" fillId="12" borderId="64" xfId="0" applyFont="1" applyFill="1" applyBorder="1" applyAlignment="1">
      <alignment horizontal="center" vertical="center"/>
    </xf>
    <xf numFmtId="176" fontId="9" fillId="0" borderId="37" xfId="0" applyNumberFormat="1" applyFont="1" applyBorder="1" applyAlignment="1">
      <alignment horizontal="center" vertical="center"/>
    </xf>
    <xf numFmtId="0" fontId="3" fillId="10" borderId="65" xfId="0" applyFont="1" applyFill="1" applyBorder="1" applyAlignment="1">
      <alignment horizontal="center" vertical="center" wrapText="1"/>
    </xf>
    <xf numFmtId="176" fontId="3" fillId="0" borderId="65" xfId="0" applyNumberFormat="1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4" xfId="0" quotePrefix="1" applyFont="1" applyBorder="1">
      <alignment vertical="center"/>
    </xf>
    <xf numFmtId="0" fontId="3" fillId="0" borderId="64" xfId="0" quotePrefix="1" applyFont="1" applyBorder="1" applyAlignment="1">
      <alignment horizontal="left" vertical="center"/>
    </xf>
    <xf numFmtId="0" fontId="3" fillId="0" borderId="64" xfId="0" applyFont="1" applyBorder="1" applyAlignment="1">
      <alignment horizontal="left" vertical="center"/>
    </xf>
    <xf numFmtId="14" fontId="9" fillId="0" borderId="31" xfId="0" applyNumberFormat="1" applyFont="1" applyBorder="1" applyAlignment="1">
      <alignment horizontal="center" vertical="center"/>
    </xf>
    <xf numFmtId="176" fontId="9" fillId="0" borderId="31" xfId="0" applyNumberFormat="1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176" fontId="9" fillId="0" borderId="28" xfId="0" applyNumberFormat="1" applyFont="1" applyBorder="1" applyAlignment="1">
      <alignment horizontal="center" vertical="center"/>
    </xf>
    <xf numFmtId="41" fontId="8" fillId="12" borderId="47" xfId="1" applyFont="1" applyFill="1" applyBorder="1" applyAlignment="1">
      <alignment horizontal="center" vertical="center"/>
    </xf>
    <xf numFmtId="14" fontId="11" fillId="12" borderId="66" xfId="0" applyNumberFormat="1" applyFont="1" applyFill="1" applyBorder="1" applyAlignment="1">
      <alignment horizontal="center" vertical="center"/>
    </xf>
    <xf numFmtId="0" fontId="9" fillId="12" borderId="67" xfId="0" applyFont="1" applyFill="1" applyBorder="1" applyAlignment="1">
      <alignment horizontal="center" vertical="center"/>
    </xf>
    <xf numFmtId="182" fontId="9" fillId="12" borderId="66" xfId="0" applyNumberFormat="1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182" fontId="9" fillId="12" borderId="1" xfId="0" applyNumberFormat="1" applyFont="1" applyFill="1" applyBorder="1" applyAlignment="1">
      <alignment horizontal="center" vertical="center"/>
    </xf>
    <xf numFmtId="14" fontId="11" fillId="12" borderId="14" xfId="0" applyNumberFormat="1" applyFont="1" applyFill="1" applyBorder="1" applyAlignment="1">
      <alignment horizontal="center" vertical="center"/>
    </xf>
    <xf numFmtId="177" fontId="19" fillId="12" borderId="3" xfId="0" applyNumberFormat="1" applyFont="1" applyFill="1" applyBorder="1" applyAlignment="1">
      <alignment horizontal="center" vertical="center"/>
    </xf>
    <xf numFmtId="14" fontId="11" fillId="12" borderId="1" xfId="0" applyNumberFormat="1" applyFont="1" applyFill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24" xfId="0" applyNumberFormat="1" applyFont="1" applyBorder="1" applyAlignment="1">
      <alignment horizontal="center" vertical="center"/>
    </xf>
    <xf numFmtId="0" fontId="9" fillId="0" borderId="43" xfId="0" quotePrefix="1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39" xfId="0" applyFont="1" applyBorder="1" applyAlignment="1">
      <alignment horizontal="left" vertical="center"/>
    </xf>
    <xf numFmtId="0" fontId="9" fillId="0" borderId="41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176" fontId="9" fillId="0" borderId="28" xfId="2" applyNumberFormat="1" applyFont="1" applyBorder="1" applyAlignment="1">
      <alignment horizontal="center" vertical="center"/>
    </xf>
    <xf numFmtId="176" fontId="9" fillId="0" borderId="47" xfId="2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176" fontId="9" fillId="0" borderId="28" xfId="0" applyNumberFormat="1" applyFont="1" applyBorder="1" applyAlignment="1">
      <alignment horizontal="center" vertical="center"/>
    </xf>
    <xf numFmtId="176" fontId="9" fillId="0" borderId="47" xfId="0" applyNumberFormat="1" applyFont="1" applyBorder="1" applyAlignment="1">
      <alignment horizontal="center" vertical="center"/>
    </xf>
    <xf numFmtId="178" fontId="9" fillId="0" borderId="31" xfId="1" applyNumberFormat="1" applyFont="1" applyBorder="1" applyAlignment="1">
      <alignment horizontal="center" vertical="center"/>
    </xf>
    <xf numFmtId="178" fontId="9" fillId="0" borderId="47" xfId="1" applyNumberFormat="1" applyFont="1" applyBorder="1" applyAlignment="1">
      <alignment horizontal="center" vertical="center"/>
    </xf>
    <xf numFmtId="180" fontId="9" fillId="0" borderId="30" xfId="0" applyNumberFormat="1" applyFont="1" applyBorder="1" applyAlignment="1">
      <alignment horizontal="center" vertical="center"/>
    </xf>
    <xf numFmtId="180" fontId="9" fillId="0" borderId="46" xfId="0" applyNumberFormat="1" applyFont="1" applyBorder="1" applyAlignment="1">
      <alignment horizontal="center" vertical="center"/>
    </xf>
    <xf numFmtId="14" fontId="9" fillId="0" borderId="30" xfId="0" applyNumberFormat="1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14" fontId="9" fillId="0" borderId="31" xfId="0" applyNumberFormat="1" applyFont="1" applyBorder="1" applyAlignment="1">
      <alignment horizontal="center" vertical="center"/>
    </xf>
    <xf numFmtId="14" fontId="9" fillId="0" borderId="34" xfId="0" applyNumberFormat="1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177" fontId="9" fillId="0" borderId="48" xfId="0" applyNumberFormat="1" applyFont="1" applyBorder="1" applyAlignment="1">
      <alignment horizontal="center" vertical="center"/>
    </xf>
    <xf numFmtId="0" fontId="9" fillId="0" borderId="50" xfId="0" applyFont="1" applyBorder="1" applyAlignment="1">
      <alignment horizontal="left" vertical="center"/>
    </xf>
    <xf numFmtId="0" fontId="9" fillId="0" borderId="51" xfId="0" applyFont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/>
    </xf>
    <xf numFmtId="0" fontId="9" fillId="0" borderId="19" xfId="0" applyFont="1" applyBorder="1" applyAlignment="1">
      <alignment horizontal="center" vertical="center" wrapText="1"/>
    </xf>
    <xf numFmtId="176" fontId="9" fillId="0" borderId="19" xfId="0" applyNumberFormat="1" applyFont="1" applyBorder="1" applyAlignment="1">
      <alignment horizontal="center" vertical="center"/>
    </xf>
    <xf numFmtId="178" fontId="9" fillId="0" borderId="28" xfId="1" applyNumberFormat="1" applyFont="1" applyBorder="1" applyAlignment="1">
      <alignment horizontal="center" vertical="center"/>
    </xf>
    <xf numFmtId="178" fontId="9" fillId="0" borderId="19" xfId="1" applyNumberFormat="1" applyFont="1" applyBorder="1" applyAlignment="1">
      <alignment horizontal="center" vertical="center"/>
    </xf>
    <xf numFmtId="180" fontId="9" fillId="0" borderId="27" xfId="0" applyNumberFormat="1" applyFont="1" applyBorder="1" applyAlignment="1">
      <alignment horizontal="center" vertical="center"/>
    </xf>
    <xf numFmtId="180" fontId="9" fillId="0" borderId="18" xfId="0" applyNumberFormat="1" applyFont="1" applyBorder="1" applyAlignment="1">
      <alignment horizontal="center" vertical="center"/>
    </xf>
    <xf numFmtId="14" fontId="9" fillId="0" borderId="27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4" fontId="9" fillId="0" borderId="28" xfId="0" applyNumberFormat="1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4" fontId="9" fillId="0" borderId="39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176" fontId="9" fillId="0" borderId="19" xfId="2" applyNumberFormat="1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 wrapText="1"/>
    </xf>
    <xf numFmtId="14" fontId="9" fillId="0" borderId="47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177" fontId="9" fillId="0" borderId="32" xfId="0" applyNumberFormat="1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/>
    </xf>
    <xf numFmtId="0" fontId="9" fillId="0" borderId="35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20" xfId="0" applyFont="1" applyBorder="1" applyAlignment="1">
      <alignment horizontal="left" vertical="center"/>
    </xf>
    <xf numFmtId="0" fontId="9" fillId="0" borderId="40" xfId="0" applyFont="1" applyBorder="1" applyAlignment="1">
      <alignment horizontal="left" vertical="center"/>
    </xf>
    <xf numFmtId="0" fontId="9" fillId="0" borderId="31" xfId="0" applyFont="1" applyBorder="1" applyAlignment="1">
      <alignment horizontal="center" vertical="center" wrapText="1"/>
    </xf>
    <xf numFmtId="176" fontId="9" fillId="0" borderId="31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176" fontId="9" fillId="0" borderId="31" xfId="2" applyNumberFormat="1" applyFont="1" applyBorder="1" applyAlignment="1">
      <alignment horizontal="center" vertical="center"/>
    </xf>
    <xf numFmtId="0" fontId="9" fillId="0" borderId="34" xfId="0" quotePrefix="1" applyFont="1" applyBorder="1" applyAlignment="1">
      <alignment horizontal="left" vertical="center" wrapText="1"/>
    </xf>
    <xf numFmtId="0" fontId="9" fillId="0" borderId="38" xfId="0" quotePrefix="1" applyFont="1" applyBorder="1" applyAlignment="1">
      <alignment horizontal="left" vertical="center" wrapText="1"/>
    </xf>
    <xf numFmtId="0" fontId="9" fillId="0" borderId="39" xfId="0" quotePrefix="1" applyFont="1" applyBorder="1" applyAlignment="1">
      <alignment horizontal="left" vertical="center" wrapText="1"/>
    </xf>
    <xf numFmtId="0" fontId="9" fillId="0" borderId="35" xfId="0" quotePrefix="1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178" fontId="9" fillId="0" borderId="31" xfId="0" applyNumberFormat="1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178" fontId="9" fillId="0" borderId="47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9" fillId="0" borderId="44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5" xfId="0" quotePrefix="1" applyFont="1" applyBorder="1" applyAlignment="1">
      <alignment horizontal="left" vertical="center" wrapText="1"/>
    </xf>
    <xf numFmtId="0" fontId="9" fillId="0" borderId="43" xfId="0" quotePrefix="1" applyFont="1" applyBorder="1" applyAlignment="1">
      <alignment horizontal="left" vertical="center"/>
    </xf>
    <xf numFmtId="0" fontId="9" fillId="0" borderId="41" xfId="0" quotePrefix="1" applyFont="1" applyBorder="1" applyAlignment="1">
      <alignment horizontal="left" vertical="center"/>
    </xf>
    <xf numFmtId="176" fontId="9" fillId="0" borderId="32" xfId="0" applyNumberFormat="1" applyFont="1" applyBorder="1" applyAlignment="1">
      <alignment horizontal="center" vertical="center"/>
    </xf>
    <xf numFmtId="176" fontId="9" fillId="0" borderId="24" xfId="0" applyNumberFormat="1" applyFont="1" applyBorder="1" applyAlignment="1">
      <alignment horizontal="center" vertical="center"/>
    </xf>
    <xf numFmtId="14" fontId="9" fillId="0" borderId="19" xfId="0" applyNumberFormat="1" applyFont="1" applyBorder="1" applyAlignment="1">
      <alignment horizontal="center" vertical="center"/>
    </xf>
    <xf numFmtId="0" fontId="8" fillId="12" borderId="56" xfId="0" applyFont="1" applyFill="1" applyBorder="1" applyAlignment="1">
      <alignment horizontal="left" vertical="center"/>
    </xf>
    <xf numFmtId="181" fontId="9" fillId="0" borderId="31" xfId="1" applyNumberFormat="1" applyFont="1" applyBorder="1" applyAlignment="1">
      <alignment horizontal="center" vertical="center"/>
    </xf>
    <xf numFmtId="181" fontId="9" fillId="0" borderId="19" xfId="1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8" fillId="10" borderId="16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10" borderId="1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0" borderId="5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9" xfId="0" applyFont="1" applyFill="1" applyBorder="1" applyAlignment="1">
      <alignment horizontal="center" vertical="center"/>
    </xf>
    <xf numFmtId="0" fontId="8" fillId="12" borderId="50" xfId="0" applyFont="1" applyFill="1" applyBorder="1" applyAlignment="1">
      <alignment horizontal="left" vertical="center"/>
    </xf>
    <xf numFmtId="0" fontId="8" fillId="12" borderId="53" xfId="0" applyFont="1" applyFill="1" applyBorder="1" applyAlignment="1">
      <alignment horizontal="left" vertical="center"/>
    </xf>
    <xf numFmtId="0" fontId="9" fillId="0" borderId="63" xfId="0" quotePrefix="1" applyFont="1" applyBorder="1" applyAlignment="1">
      <alignment horizontal="left" vertical="center" wrapText="1"/>
    </xf>
    <xf numFmtId="0" fontId="9" fillId="0" borderId="55" xfId="0" applyFont="1" applyBorder="1" applyAlignment="1">
      <alignment horizontal="left" vertical="center"/>
    </xf>
    <xf numFmtId="0" fontId="13" fillId="13" borderId="56" xfId="0" applyFont="1" applyFill="1" applyBorder="1" applyAlignment="1">
      <alignment horizontal="left" vertical="center" wrapText="1"/>
    </xf>
    <xf numFmtId="0" fontId="8" fillId="12" borderId="57" xfId="0" applyFont="1" applyFill="1" applyBorder="1" applyAlignment="1">
      <alignment horizontal="left" vertical="center"/>
    </xf>
    <xf numFmtId="0" fontId="8" fillId="12" borderId="58" xfId="0" applyFont="1" applyFill="1" applyBorder="1" applyAlignment="1">
      <alignment horizontal="left" vertical="center"/>
    </xf>
    <xf numFmtId="0" fontId="8" fillId="12" borderId="59" xfId="0" applyFont="1" applyFill="1" applyBorder="1" applyAlignment="1">
      <alignment horizontal="left" vertical="center"/>
    </xf>
    <xf numFmtId="0" fontId="8" fillId="12" borderId="60" xfId="0" applyFont="1" applyFill="1" applyBorder="1" applyAlignment="1">
      <alignment horizontal="left" vertical="center"/>
    </xf>
    <xf numFmtId="0" fontId="8" fillId="12" borderId="61" xfId="0" applyFont="1" applyFill="1" applyBorder="1" applyAlignment="1">
      <alignment horizontal="left" vertical="center"/>
    </xf>
    <xf numFmtId="0" fontId="8" fillId="12" borderId="62" xfId="0" applyFont="1" applyFill="1" applyBorder="1" applyAlignment="1">
      <alignment horizontal="left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9" fillId="0" borderId="33" xfId="0" quotePrefix="1" applyFont="1" applyBorder="1" applyAlignment="1">
      <alignment vertical="center" wrapText="1"/>
    </xf>
    <xf numFmtId="0" fontId="9" fillId="0" borderId="34" xfId="0" applyFont="1" applyBorder="1">
      <alignment vertical="center"/>
    </xf>
    <xf numFmtId="0" fontId="9" fillId="0" borderId="38" xfId="0" applyFont="1" applyBorder="1">
      <alignment vertical="center"/>
    </xf>
    <xf numFmtId="0" fontId="9" fillId="0" borderId="39" xfId="0" applyFont="1" applyBorder="1">
      <alignment vertical="center"/>
    </xf>
    <xf numFmtId="0" fontId="3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9" fillId="0" borderId="33" xfId="0" quotePrefix="1" applyFont="1" applyBorder="1" applyAlignment="1">
      <alignment horizontal="left" vertical="center"/>
    </xf>
    <xf numFmtId="0" fontId="9" fillId="0" borderId="3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 vertical="center"/>
    </xf>
    <xf numFmtId="0" fontId="18" fillId="0" borderId="27" xfId="0" applyFont="1" applyFill="1" applyBorder="1" applyAlignment="1">
      <alignment horizontal="center" vertical="center"/>
    </xf>
    <xf numFmtId="0" fontId="18" fillId="0" borderId="18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0" fontId="19" fillId="0" borderId="27" xfId="0" applyFont="1" applyFill="1" applyBorder="1" applyAlignment="1">
      <alignment horizontal="center" vertical="center"/>
    </xf>
    <xf numFmtId="0" fontId="19" fillId="0" borderId="18" xfId="0" applyFont="1" applyFill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57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fgColor theme="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7189DE-6BE3-4A08-82EE-4719F9128D82}" name="표1" displayName="표1" ref="A1:C24" totalsRowShown="0" headerRowBorderDxfId="56" tableBorderDxfId="55" totalsRowBorderDxfId="54">
  <autoFilter ref="A1:C24" xr:uid="{C77189DE-6BE3-4A08-82EE-4719F9128D82}"/>
  <tableColumns count="3">
    <tableColumn id="1" xr3:uid="{28533935-5975-48C2-B965-3D085A89585F}" name="소속" dataDxfId="53"/>
    <tableColumn id="2" xr3:uid="{7A776625-AAA1-47A2-8126-4E942C8B6B1F}" name="현장" dataDxfId="52"/>
    <tableColumn id="3" xr3:uid="{E5DB95E5-8494-4A52-A968-D7E72E4B8F8A}" name="용역종류" dataDxfId="5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9A42-4F60-49E9-8A34-2C34AA55ACDD}">
  <dimension ref="B4:N20"/>
  <sheetViews>
    <sheetView topLeftCell="A2" workbookViewId="0">
      <selection activeCell="I15" sqref="I15"/>
    </sheetView>
  </sheetViews>
  <sheetFormatPr defaultRowHeight="16.5" x14ac:dyDescent="0.3"/>
  <cols>
    <col min="6" max="6" width="22" bestFit="1" customWidth="1"/>
    <col min="7" max="7" width="9.5" customWidth="1"/>
    <col min="9" max="9" width="9.625" bestFit="1" customWidth="1"/>
    <col min="10" max="10" width="11" customWidth="1"/>
    <col min="11" max="11" width="14.75" bestFit="1" customWidth="1"/>
    <col min="12" max="12" width="71.875" bestFit="1" customWidth="1"/>
  </cols>
  <sheetData>
    <row r="4" spans="2:14" ht="37.5" x14ac:dyDescent="0.3">
      <c r="B4" s="106" t="s">
        <v>0</v>
      </c>
      <c r="C4" s="106" t="s">
        <v>55</v>
      </c>
      <c r="D4" s="106" t="s">
        <v>56</v>
      </c>
      <c r="E4" s="106" t="s">
        <v>4</v>
      </c>
      <c r="F4" s="106" t="s">
        <v>174</v>
      </c>
      <c r="G4" s="107" t="s">
        <v>25</v>
      </c>
      <c r="H4" s="107" t="s">
        <v>179</v>
      </c>
      <c r="I4" s="107" t="s">
        <v>171</v>
      </c>
      <c r="J4" s="107" t="s">
        <v>172</v>
      </c>
      <c r="K4" s="110" t="s">
        <v>173</v>
      </c>
      <c r="L4" s="107" t="s">
        <v>30</v>
      </c>
    </row>
    <row r="5" spans="2:14" ht="18.75" x14ac:dyDescent="0.3">
      <c r="B5" s="108">
        <v>1</v>
      </c>
      <c r="C5" s="104" t="s">
        <v>61</v>
      </c>
      <c r="D5" s="104" t="s">
        <v>62</v>
      </c>
      <c r="E5" s="104" t="s">
        <v>125</v>
      </c>
      <c r="F5" s="104" t="s">
        <v>58</v>
      </c>
      <c r="G5" s="104" t="s">
        <v>23</v>
      </c>
      <c r="H5" s="104" t="s">
        <v>189</v>
      </c>
      <c r="I5" s="105">
        <v>0.51200000000000001</v>
      </c>
      <c r="J5" s="105">
        <v>0.624</v>
      </c>
      <c r="K5" s="111" t="s">
        <v>262</v>
      </c>
      <c r="L5" s="113"/>
      <c r="N5" s="101" t="s">
        <v>229</v>
      </c>
    </row>
    <row r="6" spans="2:14" s="101" customFormat="1" ht="18.75" customHeight="1" x14ac:dyDescent="0.3">
      <c r="B6" s="108">
        <v>2</v>
      </c>
      <c r="C6" s="104" t="s">
        <v>61</v>
      </c>
      <c r="D6" s="104" t="s">
        <v>62</v>
      </c>
      <c r="E6" s="104" t="s">
        <v>127</v>
      </c>
      <c r="F6" s="104" t="s">
        <v>76</v>
      </c>
      <c r="G6" s="104" t="s">
        <v>23</v>
      </c>
      <c r="H6" s="104" t="s">
        <v>189</v>
      </c>
      <c r="I6" s="105">
        <v>0.59699999999999998</v>
      </c>
      <c r="J6" s="105">
        <v>0.7</v>
      </c>
      <c r="K6" s="111" t="s">
        <v>214</v>
      </c>
      <c r="L6" s="114"/>
      <c r="N6" s="101" t="s">
        <v>229</v>
      </c>
    </row>
    <row r="7" spans="2:14" s="101" customFormat="1" ht="18.75" customHeight="1" x14ac:dyDescent="0.3">
      <c r="B7" s="108">
        <v>3</v>
      </c>
      <c r="C7" s="104" t="s">
        <v>61</v>
      </c>
      <c r="D7" s="104" t="s">
        <v>62</v>
      </c>
      <c r="E7" s="104" t="s">
        <v>122</v>
      </c>
      <c r="F7" s="104" t="s">
        <v>58</v>
      </c>
      <c r="G7" s="104" t="s">
        <v>23</v>
      </c>
      <c r="H7" s="104" t="s">
        <v>189</v>
      </c>
      <c r="I7" s="105">
        <v>0.78500000000000003</v>
      </c>
      <c r="J7" s="105">
        <v>0.85</v>
      </c>
      <c r="K7" s="112" t="s">
        <v>225</v>
      </c>
      <c r="L7" s="114"/>
      <c r="N7" s="101" t="s">
        <v>229</v>
      </c>
    </row>
    <row r="8" spans="2:14" s="101" customFormat="1" ht="18.75" x14ac:dyDescent="0.3">
      <c r="B8" s="108">
        <v>4</v>
      </c>
      <c r="C8" s="104" t="s">
        <v>34</v>
      </c>
      <c r="D8" s="104" t="s">
        <v>35</v>
      </c>
      <c r="E8" s="104" t="s">
        <v>159</v>
      </c>
      <c r="F8" s="104" t="s">
        <v>63</v>
      </c>
      <c r="G8" s="104" t="s">
        <v>24</v>
      </c>
      <c r="H8" s="104" t="s">
        <v>189</v>
      </c>
      <c r="I8" s="105">
        <v>0.55500000000000005</v>
      </c>
      <c r="J8" s="105">
        <v>0.623</v>
      </c>
      <c r="K8" s="112" t="s">
        <v>263</v>
      </c>
      <c r="L8" s="114" t="s">
        <v>247</v>
      </c>
      <c r="N8" s="101" t="s">
        <v>232</v>
      </c>
    </row>
    <row r="9" spans="2:14" s="101" customFormat="1" ht="18.75" x14ac:dyDescent="0.3">
      <c r="B9" s="108">
        <v>5</v>
      </c>
      <c r="C9" s="104" t="s">
        <v>140</v>
      </c>
      <c r="D9" s="104" t="s">
        <v>136</v>
      </c>
      <c r="E9" s="104" t="s">
        <v>138</v>
      </c>
      <c r="F9" s="104" t="s">
        <v>63</v>
      </c>
      <c r="G9" s="104" t="s">
        <v>24</v>
      </c>
      <c r="H9" s="104" t="s">
        <v>213</v>
      </c>
      <c r="I9" s="105">
        <v>0.80600000000000005</v>
      </c>
      <c r="J9" s="105">
        <v>0.85</v>
      </c>
      <c r="K9" s="112" t="s">
        <v>264</v>
      </c>
      <c r="L9" s="114"/>
      <c r="N9" s="101" t="s">
        <v>232</v>
      </c>
    </row>
    <row r="10" spans="2:14" s="101" customFormat="1" x14ac:dyDescent="0.3">
      <c r="I10" s="103"/>
      <c r="J10" s="103"/>
    </row>
    <row r="11" spans="2:14" s="101" customFormat="1" x14ac:dyDescent="0.3">
      <c r="I11" s="103"/>
      <c r="J11" s="103"/>
    </row>
    <row r="12" spans="2:14" s="101" customFormat="1" ht="37.5" x14ac:dyDescent="0.3">
      <c r="B12" s="106" t="s">
        <v>0</v>
      </c>
      <c r="C12" s="106" t="s">
        <v>55</v>
      </c>
      <c r="D12" s="106" t="s">
        <v>56</v>
      </c>
      <c r="E12" s="106" t="s">
        <v>4</v>
      </c>
      <c r="F12" s="106" t="s">
        <v>174</v>
      </c>
      <c r="G12" s="107" t="s">
        <v>180</v>
      </c>
      <c r="H12" s="107" t="s">
        <v>181</v>
      </c>
      <c r="I12" s="107" t="s">
        <v>182</v>
      </c>
      <c r="J12" s="107" t="s">
        <v>183</v>
      </c>
      <c r="K12" s="110" t="s">
        <v>173</v>
      </c>
      <c r="L12" s="107" t="s">
        <v>30</v>
      </c>
    </row>
    <row r="13" spans="2:14" s="101" customFormat="1" ht="18.75" x14ac:dyDescent="0.3">
      <c r="B13" s="108">
        <v>1</v>
      </c>
      <c r="C13" s="104" t="s">
        <v>38</v>
      </c>
      <c r="D13" s="104" t="s">
        <v>39</v>
      </c>
      <c r="E13" s="104" t="s">
        <v>42</v>
      </c>
      <c r="F13" s="104" t="s">
        <v>70</v>
      </c>
      <c r="G13" s="104">
        <v>52</v>
      </c>
      <c r="H13" s="104">
        <v>46</v>
      </c>
      <c r="I13" s="104">
        <v>16</v>
      </c>
      <c r="J13" s="104">
        <v>1</v>
      </c>
      <c r="K13" s="111" t="s">
        <v>227</v>
      </c>
      <c r="L13" s="114"/>
      <c r="N13" s="101" t="s">
        <v>230</v>
      </c>
    </row>
    <row r="14" spans="2:14" s="101" customFormat="1" ht="18.75" x14ac:dyDescent="0.3">
      <c r="B14" s="108">
        <v>2</v>
      </c>
      <c r="C14" s="104" t="s">
        <v>38</v>
      </c>
      <c r="D14" s="104" t="s">
        <v>43</v>
      </c>
      <c r="E14" s="104" t="s">
        <v>44</v>
      </c>
      <c r="F14" s="104" t="s">
        <v>70</v>
      </c>
      <c r="G14" s="104">
        <v>43</v>
      </c>
      <c r="H14" s="104">
        <v>37</v>
      </c>
      <c r="I14" s="104">
        <v>17</v>
      </c>
      <c r="J14" s="104">
        <v>1</v>
      </c>
      <c r="K14" s="111" t="s">
        <v>226</v>
      </c>
      <c r="L14" s="114"/>
      <c r="N14" s="101" t="s">
        <v>230</v>
      </c>
    </row>
    <row r="15" spans="2:14" s="101" customFormat="1" ht="18.75" x14ac:dyDescent="0.3">
      <c r="B15" s="108">
        <v>3</v>
      </c>
      <c r="C15" s="104" t="s">
        <v>73</v>
      </c>
      <c r="D15" s="104" t="s">
        <v>74</v>
      </c>
      <c r="E15" s="104" t="s">
        <v>135</v>
      </c>
      <c r="F15" s="104" t="s">
        <v>70</v>
      </c>
      <c r="G15" s="104">
        <v>27</v>
      </c>
      <c r="H15" s="104">
        <v>27</v>
      </c>
      <c r="I15" s="104">
        <v>12</v>
      </c>
      <c r="J15" s="104">
        <v>4</v>
      </c>
      <c r="K15" s="111" t="s">
        <v>184</v>
      </c>
      <c r="L15" s="114"/>
      <c r="N15" s="101" t="s">
        <v>231</v>
      </c>
    </row>
    <row r="16" spans="2:14" s="101" customFormat="1" ht="18.75" x14ac:dyDescent="0.3">
      <c r="B16" s="108">
        <v>4</v>
      </c>
      <c r="C16" s="104" t="s">
        <v>48</v>
      </c>
      <c r="D16" s="104" t="s">
        <v>72</v>
      </c>
      <c r="E16" s="104" t="s">
        <v>130</v>
      </c>
      <c r="F16" s="104" t="s">
        <v>70</v>
      </c>
      <c r="G16" s="104">
        <v>12</v>
      </c>
      <c r="H16" s="104">
        <v>12</v>
      </c>
      <c r="I16" s="104">
        <v>0</v>
      </c>
      <c r="J16" s="104">
        <v>0</v>
      </c>
      <c r="K16" s="111" t="s">
        <v>198</v>
      </c>
      <c r="L16" s="114" t="s">
        <v>248</v>
      </c>
      <c r="N16" s="101" t="s">
        <v>229</v>
      </c>
    </row>
    <row r="17" spans="2:14" s="101" customFormat="1" ht="18.75" x14ac:dyDescent="0.3">
      <c r="B17" s="108">
        <v>5</v>
      </c>
      <c r="C17" s="104" t="s">
        <v>140</v>
      </c>
      <c r="D17" s="104" t="s">
        <v>141</v>
      </c>
      <c r="E17" s="104" t="s">
        <v>221</v>
      </c>
      <c r="F17" s="104" t="s">
        <v>70</v>
      </c>
      <c r="G17" s="104">
        <v>92</v>
      </c>
      <c r="H17" s="104">
        <v>92</v>
      </c>
      <c r="I17" s="104">
        <v>15</v>
      </c>
      <c r="J17" s="104">
        <v>9</v>
      </c>
      <c r="K17" s="111" t="s">
        <v>228</v>
      </c>
      <c r="L17" s="115"/>
      <c r="N17" s="101" t="s">
        <v>232</v>
      </c>
    </row>
    <row r="18" spans="2:14" s="101" customFormat="1" x14ac:dyDescent="0.3">
      <c r="I18" s="103">
        <v>0.15</v>
      </c>
      <c r="J18" s="103">
        <v>0.09</v>
      </c>
    </row>
    <row r="19" spans="2:14" x14ac:dyDescent="0.3">
      <c r="I19" s="102">
        <v>0.31</v>
      </c>
      <c r="J19" s="102">
        <v>7.0000000000000007E-2</v>
      </c>
    </row>
    <row r="20" spans="2:14" x14ac:dyDescent="0.3">
      <c r="I20" s="102"/>
      <c r="J20" s="10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0562-5677-4BBE-BBAE-54EF0A4DC3F7}">
  <sheetPr codeName="Sheet1">
    <pageSetUpPr fitToPage="1"/>
  </sheetPr>
  <dimension ref="B1:AJ107"/>
  <sheetViews>
    <sheetView tabSelected="1" zoomScale="70" zoomScaleNormal="70" workbookViewId="0">
      <pane xSplit="7" ySplit="6" topLeftCell="X61" activePane="bottomRight" state="frozen"/>
      <selection pane="topRight" activeCell="H1" sqref="H1"/>
      <selection pane="bottomLeft" activeCell="A7" sqref="A7"/>
      <selection pane="bottomRight" activeCell="J15" sqref="J15:J16"/>
    </sheetView>
  </sheetViews>
  <sheetFormatPr defaultRowHeight="18.75" outlineLevelRow="1" outlineLevelCol="1" x14ac:dyDescent="0.3"/>
  <cols>
    <col min="1" max="1" width="1.625" style="43" customWidth="1"/>
    <col min="2" max="2" width="9.25" style="43" bestFit="1" customWidth="1"/>
    <col min="3" max="3" width="9" style="43"/>
    <col min="4" max="4" width="11.875" style="43" bestFit="1" customWidth="1"/>
    <col min="5" max="5" width="25.5" style="43" bestFit="1" customWidth="1"/>
    <col min="6" max="6" width="18.625" style="43" bestFit="1" customWidth="1"/>
    <col min="7" max="7" width="9" style="43"/>
    <col min="8" max="8" width="12.375" style="43" customWidth="1"/>
    <col min="9" max="9" width="11.25" style="43" customWidth="1"/>
    <col min="10" max="10" width="18.625" style="43" customWidth="1"/>
    <col min="11" max="11" width="46.875" style="43" customWidth="1"/>
    <col min="12" max="13" width="17" style="43" bestFit="1" customWidth="1"/>
    <col min="14" max="14" width="19.375" style="43" customWidth="1"/>
    <col min="15" max="15" width="20.25" style="43" customWidth="1"/>
    <col min="16" max="16" width="14" style="43" customWidth="1"/>
    <col min="17" max="17" width="13.25" style="43" customWidth="1" outlineLevel="1"/>
    <col min="18" max="18" width="20.625" style="43" customWidth="1" outlineLevel="1"/>
    <col min="19" max="19" width="17.25" style="43" customWidth="1" outlineLevel="1"/>
    <col min="20" max="20" width="23.125" style="43" customWidth="1" outlineLevel="1"/>
    <col min="21" max="21" width="24.25" style="43" customWidth="1" outlineLevel="1"/>
    <col min="22" max="22" width="9.625" style="43" customWidth="1"/>
    <col min="23" max="23" width="12.625" style="43" customWidth="1" outlineLevel="1"/>
    <col min="24" max="24" width="17.75" style="43" customWidth="1" outlineLevel="1"/>
    <col min="25" max="25" width="19.75" style="43" customWidth="1" outlineLevel="1"/>
    <col min="26" max="27" width="16.125" style="43" bestFit="1" customWidth="1"/>
    <col min="28" max="29" width="16.125" style="43" customWidth="1"/>
    <col min="30" max="31" width="23.5" style="43" customWidth="1" outlineLevel="1"/>
    <col min="32" max="32" width="12.125" style="43" bestFit="1" customWidth="1"/>
    <col min="33" max="34" width="50.625" style="43" customWidth="1"/>
    <col min="35" max="36" width="49.625" style="43" customWidth="1"/>
    <col min="37" max="16384" width="9" style="43"/>
  </cols>
  <sheetData>
    <row r="1" spans="2:36" s="42" customFormat="1" ht="45.75" customHeight="1" thickBot="1" x14ac:dyDescent="0.35">
      <c r="B1" s="47" t="s">
        <v>83</v>
      </c>
    </row>
    <row r="2" spans="2:36" s="48" customFormat="1" ht="409.5" hidden="1" customHeight="1" outlineLevel="1" thickBot="1" x14ac:dyDescent="0.35">
      <c r="B2" s="259" t="s">
        <v>93</v>
      </c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J2" s="259"/>
    </row>
    <row r="3" spans="2:36" s="48" customFormat="1" ht="98.25" hidden="1" customHeight="1" outlineLevel="1" thickBot="1" x14ac:dyDescent="0.35">
      <c r="B3" s="259" t="s">
        <v>94</v>
      </c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</row>
    <row r="4" spans="2:36" s="44" customFormat="1" ht="32.1" customHeight="1" collapsed="1" x14ac:dyDescent="0.3">
      <c r="B4" s="253" t="s">
        <v>0</v>
      </c>
      <c r="C4" s="246" t="s">
        <v>1</v>
      </c>
      <c r="D4" s="246" t="s">
        <v>2</v>
      </c>
      <c r="E4" s="246" t="s">
        <v>9</v>
      </c>
      <c r="F4" s="246" t="s">
        <v>3</v>
      </c>
      <c r="G4" s="232" t="s">
        <v>4</v>
      </c>
      <c r="H4" s="251" t="s">
        <v>27</v>
      </c>
      <c r="I4" s="252"/>
      <c r="J4" s="252"/>
      <c r="K4" s="252"/>
      <c r="L4" s="252"/>
      <c r="M4" s="252"/>
      <c r="N4" s="252"/>
      <c r="O4" s="252"/>
      <c r="P4" s="234" t="s">
        <v>84</v>
      </c>
      <c r="Q4" s="235"/>
      <c r="R4" s="235"/>
      <c r="S4" s="235"/>
      <c r="T4" s="235"/>
      <c r="U4" s="236"/>
      <c r="V4" s="237" t="s">
        <v>85</v>
      </c>
      <c r="W4" s="238"/>
      <c r="X4" s="239"/>
      <c r="Y4" s="240"/>
      <c r="Z4" s="241" t="s">
        <v>86</v>
      </c>
      <c r="AA4" s="242"/>
      <c r="AB4" s="242"/>
      <c r="AC4" s="242"/>
      <c r="AD4" s="242"/>
      <c r="AE4" s="243"/>
      <c r="AF4" s="244"/>
      <c r="AG4" s="245" t="s">
        <v>20</v>
      </c>
      <c r="AH4" s="246"/>
      <c r="AI4" s="246" t="s">
        <v>30</v>
      </c>
      <c r="AJ4" s="249"/>
    </row>
    <row r="5" spans="2:36" s="45" customFormat="1" ht="37.5" customHeight="1" x14ac:dyDescent="0.3">
      <c r="B5" s="254"/>
      <c r="C5" s="248"/>
      <c r="D5" s="248"/>
      <c r="E5" s="248"/>
      <c r="F5" s="248"/>
      <c r="G5" s="233"/>
      <c r="H5" s="1" t="s">
        <v>25</v>
      </c>
      <c r="I5" s="2" t="s">
        <v>5</v>
      </c>
      <c r="J5" s="3" t="s">
        <v>33</v>
      </c>
      <c r="K5" s="2" t="s">
        <v>8</v>
      </c>
      <c r="L5" s="3" t="s">
        <v>19</v>
      </c>
      <c r="M5" s="3" t="s">
        <v>18</v>
      </c>
      <c r="N5" s="3" t="s">
        <v>28</v>
      </c>
      <c r="O5" s="3" t="s">
        <v>29</v>
      </c>
      <c r="P5" s="4" t="s">
        <v>17</v>
      </c>
      <c r="Q5" s="5" t="s">
        <v>16</v>
      </c>
      <c r="R5" s="5" t="s">
        <v>45</v>
      </c>
      <c r="S5" s="5" t="s">
        <v>95</v>
      </c>
      <c r="T5" s="5" t="s">
        <v>96</v>
      </c>
      <c r="U5" s="6" t="s">
        <v>97</v>
      </c>
      <c r="V5" s="7" t="s">
        <v>21</v>
      </c>
      <c r="W5" s="8" t="s">
        <v>22</v>
      </c>
      <c r="X5" s="9" t="s">
        <v>31</v>
      </c>
      <c r="Y5" s="10" t="s">
        <v>32</v>
      </c>
      <c r="Z5" s="11" t="s">
        <v>6</v>
      </c>
      <c r="AA5" s="12" t="s">
        <v>7</v>
      </c>
      <c r="AB5" s="12" t="s">
        <v>99</v>
      </c>
      <c r="AC5" s="12" t="s">
        <v>100</v>
      </c>
      <c r="AD5" s="13" t="s">
        <v>87</v>
      </c>
      <c r="AE5" s="13" t="s">
        <v>88</v>
      </c>
      <c r="AF5" s="14" t="s">
        <v>10</v>
      </c>
      <c r="AG5" s="247"/>
      <c r="AH5" s="248"/>
      <c r="AI5" s="248"/>
      <c r="AJ5" s="250"/>
    </row>
    <row r="6" spans="2:36" s="45" customFormat="1" ht="37.5" customHeight="1" x14ac:dyDescent="0.3">
      <c r="B6" s="260" t="s">
        <v>89</v>
      </c>
      <c r="C6" s="261"/>
      <c r="D6" s="261"/>
      <c r="E6" s="261"/>
      <c r="F6" s="261"/>
      <c r="G6" s="261"/>
      <c r="H6" s="261"/>
      <c r="I6" s="261"/>
      <c r="J6" s="261"/>
      <c r="K6" s="261"/>
      <c r="L6" s="261"/>
      <c r="M6" s="261"/>
      <c r="N6" s="261"/>
      <c r="O6" s="261"/>
      <c r="P6" s="261"/>
      <c r="Q6" s="261"/>
      <c r="R6" s="261"/>
      <c r="S6" s="261"/>
      <c r="T6" s="261"/>
      <c r="U6" s="261"/>
      <c r="V6" s="261"/>
      <c r="W6" s="261"/>
      <c r="X6" s="261"/>
      <c r="Y6" s="261"/>
      <c r="Z6" s="261"/>
      <c r="AA6" s="261"/>
      <c r="AB6" s="261"/>
      <c r="AC6" s="261"/>
      <c r="AD6" s="261"/>
      <c r="AE6" s="261"/>
      <c r="AF6" s="261"/>
      <c r="AG6" s="261"/>
      <c r="AH6" s="261"/>
      <c r="AI6" s="261"/>
      <c r="AJ6" s="262"/>
    </row>
    <row r="7" spans="2:36" s="46" customFormat="1" ht="42.75" customHeight="1" outlineLevel="1" x14ac:dyDescent="0.3">
      <c r="B7" s="279">
        <v>1</v>
      </c>
      <c r="C7" s="192" t="s">
        <v>59</v>
      </c>
      <c r="D7" s="192" t="s">
        <v>12</v>
      </c>
      <c r="E7" s="192" t="s">
        <v>13</v>
      </c>
      <c r="F7" s="192" t="s">
        <v>14</v>
      </c>
      <c r="G7" s="193" t="s">
        <v>185</v>
      </c>
      <c r="H7" s="195" t="s">
        <v>23</v>
      </c>
      <c r="I7" s="196">
        <v>0.85</v>
      </c>
      <c r="J7" s="192">
        <v>14</v>
      </c>
      <c r="K7" s="190" t="s">
        <v>26</v>
      </c>
      <c r="L7" s="191">
        <v>0.495</v>
      </c>
      <c r="M7" s="15">
        <v>0.84899999999999998</v>
      </c>
      <c r="N7" s="15">
        <f>IF((((($I7-$L7)/($AD7-$Z7))*($N8-$Z7))+$L7)&gt;0.85,$I7,((($I7-$L7)/($AD7-$Z7))*($N8-$Z7))+$L7)</f>
        <v>0.85</v>
      </c>
      <c r="O7" s="15">
        <f>M7-N7</f>
        <v>-1.0000000000000009E-3</v>
      </c>
      <c r="P7" s="16">
        <v>14</v>
      </c>
      <c r="Q7" s="17" t="s">
        <v>15</v>
      </c>
      <c r="R7" s="18" t="s">
        <v>15</v>
      </c>
      <c r="S7" s="148" t="s">
        <v>15</v>
      </c>
      <c r="T7" s="148">
        <v>217</v>
      </c>
      <c r="U7" s="19">
        <v>210</v>
      </c>
      <c r="V7" s="205" t="s">
        <v>15</v>
      </c>
      <c r="W7" s="192" t="s">
        <v>15</v>
      </c>
      <c r="X7" s="20" t="s">
        <v>15</v>
      </c>
      <c r="Y7" s="21" t="s">
        <v>15</v>
      </c>
      <c r="Z7" s="152">
        <v>44547</v>
      </c>
      <c r="AA7" s="154">
        <v>46361</v>
      </c>
      <c r="AB7" s="66">
        <v>45397</v>
      </c>
      <c r="AC7" s="66">
        <v>45648</v>
      </c>
      <c r="AD7" s="154">
        <v>45915</v>
      </c>
      <c r="AE7" s="154">
        <v>46280</v>
      </c>
      <c r="AF7" s="182">
        <f ca="1">AA7-TODAY()</f>
        <v>256</v>
      </c>
      <c r="AG7" s="183" t="s">
        <v>255</v>
      </c>
      <c r="AH7" s="184"/>
      <c r="AI7" s="216" t="s">
        <v>257</v>
      </c>
      <c r="AJ7" s="201"/>
    </row>
    <row r="8" spans="2:36" s="46" customFormat="1" ht="24.95" customHeight="1" outlineLevel="1" x14ac:dyDescent="0.3">
      <c r="B8" s="280"/>
      <c r="C8" s="143"/>
      <c r="D8" s="143"/>
      <c r="E8" s="143"/>
      <c r="F8" s="143"/>
      <c r="G8" s="175"/>
      <c r="H8" s="177"/>
      <c r="I8" s="178"/>
      <c r="J8" s="173"/>
      <c r="K8" s="164"/>
      <c r="L8" s="165"/>
      <c r="M8" s="22" t="s">
        <v>213</v>
      </c>
      <c r="N8" s="23">
        <v>46105</v>
      </c>
      <c r="O8" s="24" t="str">
        <f>IF(O7&gt;0,"초과","미달")</f>
        <v>미달</v>
      </c>
      <c r="P8" s="60">
        <f>$P7/$J7</f>
        <v>1</v>
      </c>
      <c r="Q8" s="61" t="s">
        <v>15</v>
      </c>
      <c r="R8" s="61" t="s">
        <v>15</v>
      </c>
      <c r="S8" s="167"/>
      <c r="T8" s="167"/>
      <c r="U8" s="25" t="str">
        <f>IF((T7-U7)&lt;0,(U7-T7)&amp;"㎥"&amp;" "&amp;"미달",(T7-U7)&amp;"㎥"&amp;" "&amp;"초과")</f>
        <v>7㎥ 초과</v>
      </c>
      <c r="V8" s="171"/>
      <c r="W8" s="173"/>
      <c r="X8" s="26" t="s">
        <v>15</v>
      </c>
      <c r="Y8" s="25" t="s">
        <v>15</v>
      </c>
      <c r="Z8" s="171"/>
      <c r="AA8" s="173"/>
      <c r="AB8" s="26" t="s">
        <v>102</v>
      </c>
      <c r="AC8" s="80">
        <f>AC7-AB7</f>
        <v>251</v>
      </c>
      <c r="AD8" s="174"/>
      <c r="AE8" s="173"/>
      <c r="AF8" s="130"/>
      <c r="AG8" s="133"/>
      <c r="AH8" s="134"/>
      <c r="AI8" s="188"/>
      <c r="AJ8" s="189"/>
    </row>
    <row r="9" spans="2:36" s="46" customFormat="1" ht="35.1" customHeight="1" outlineLevel="1" x14ac:dyDescent="0.3">
      <c r="B9" s="280"/>
      <c r="C9" s="143"/>
      <c r="D9" s="143"/>
      <c r="E9" s="143"/>
      <c r="F9" s="143"/>
      <c r="G9" s="175"/>
      <c r="H9" s="139" t="s">
        <v>24</v>
      </c>
      <c r="I9" s="141" t="s">
        <v>15</v>
      </c>
      <c r="J9" s="143" t="s">
        <v>15</v>
      </c>
      <c r="K9" s="143" t="s">
        <v>15</v>
      </c>
      <c r="L9" s="143" t="s">
        <v>15</v>
      </c>
      <c r="M9" s="27" t="s">
        <v>15</v>
      </c>
      <c r="N9" s="28" t="s">
        <v>15</v>
      </c>
      <c r="O9" s="29" t="s">
        <v>15</v>
      </c>
      <c r="P9" s="30" t="s">
        <v>15</v>
      </c>
      <c r="Q9" s="28" t="s">
        <v>15</v>
      </c>
      <c r="R9" s="28" t="s">
        <v>15</v>
      </c>
      <c r="S9" s="202" t="s">
        <v>15</v>
      </c>
      <c r="T9" s="202" t="s">
        <v>15</v>
      </c>
      <c r="U9" s="31" t="s">
        <v>15</v>
      </c>
      <c r="V9" s="205" t="s">
        <v>15</v>
      </c>
      <c r="W9" s="192" t="s">
        <v>15</v>
      </c>
      <c r="X9" s="27" t="s">
        <v>15</v>
      </c>
      <c r="Y9" s="32" t="s">
        <v>15</v>
      </c>
      <c r="Z9" s="205" t="s">
        <v>15</v>
      </c>
      <c r="AA9" s="192" t="s">
        <v>15</v>
      </c>
      <c r="AB9" s="66" t="s">
        <v>101</v>
      </c>
      <c r="AC9" s="66" t="s">
        <v>101</v>
      </c>
      <c r="AD9" s="192" t="s">
        <v>15</v>
      </c>
      <c r="AE9" s="192" t="s">
        <v>15</v>
      </c>
      <c r="AF9" s="206" t="s">
        <v>15</v>
      </c>
      <c r="AG9" s="217" t="s">
        <v>256</v>
      </c>
      <c r="AH9" s="132"/>
      <c r="AI9" s="135"/>
      <c r="AJ9" s="136"/>
    </row>
    <row r="10" spans="2:36" s="46" customFormat="1" ht="24.95" customHeight="1" outlineLevel="1" x14ac:dyDescent="0.3">
      <c r="B10" s="281"/>
      <c r="C10" s="173"/>
      <c r="D10" s="173"/>
      <c r="E10" s="173"/>
      <c r="F10" s="173"/>
      <c r="G10" s="194"/>
      <c r="H10" s="177"/>
      <c r="I10" s="178"/>
      <c r="J10" s="173"/>
      <c r="K10" s="173"/>
      <c r="L10" s="173"/>
      <c r="M10" s="81" t="s">
        <v>15</v>
      </c>
      <c r="N10" s="82" t="s">
        <v>15</v>
      </c>
      <c r="O10" s="83" t="s">
        <v>15</v>
      </c>
      <c r="P10" s="84" t="s">
        <v>15</v>
      </c>
      <c r="Q10" s="67" t="s">
        <v>15</v>
      </c>
      <c r="R10" s="67" t="s">
        <v>15</v>
      </c>
      <c r="S10" s="203"/>
      <c r="T10" s="203"/>
      <c r="U10" s="40" t="s">
        <v>15</v>
      </c>
      <c r="V10" s="171"/>
      <c r="W10" s="173"/>
      <c r="X10" s="41" t="s">
        <v>15</v>
      </c>
      <c r="Y10" s="40" t="s">
        <v>15</v>
      </c>
      <c r="Z10" s="171"/>
      <c r="AA10" s="173"/>
      <c r="AB10" s="85" t="s">
        <v>101</v>
      </c>
      <c r="AC10" s="80" t="str">
        <f>IFERROR(AC9-AB9,"-")</f>
        <v>-</v>
      </c>
      <c r="AD10" s="173"/>
      <c r="AE10" s="173"/>
      <c r="AF10" s="225"/>
      <c r="AG10" s="133"/>
      <c r="AH10" s="134"/>
      <c r="AI10" s="137"/>
      <c r="AJ10" s="138"/>
    </row>
    <row r="11" spans="2:36" s="46" customFormat="1" ht="24.95" customHeight="1" outlineLevel="1" x14ac:dyDescent="0.3">
      <c r="B11" s="279">
        <v>2</v>
      </c>
      <c r="C11" s="192" t="s">
        <v>48</v>
      </c>
      <c r="D11" s="192" t="s">
        <v>60</v>
      </c>
      <c r="E11" s="192" t="s">
        <v>13</v>
      </c>
      <c r="F11" s="192" t="s">
        <v>14</v>
      </c>
      <c r="G11" s="193" t="s">
        <v>115</v>
      </c>
      <c r="H11" s="195" t="s">
        <v>23</v>
      </c>
      <c r="I11" s="196">
        <v>0.85</v>
      </c>
      <c r="J11" s="192">
        <v>2</v>
      </c>
      <c r="K11" s="190" t="s">
        <v>116</v>
      </c>
      <c r="L11" s="191">
        <v>0.40400000000000003</v>
      </c>
      <c r="M11" s="15">
        <v>0.80200000000000005</v>
      </c>
      <c r="N11" s="15">
        <f>IF((((($I11-$L11)/($AD11-$Z11))*($N12-$Z11))+$L11)&gt;0.85,$I11,((($I11-$L11)/($AD11-$Z11))*($N12-$Z11))+$L11)</f>
        <v>0.85</v>
      </c>
      <c r="O11" s="15">
        <f>M11-N11</f>
        <v>-4.7999999999999932E-2</v>
      </c>
      <c r="P11" s="16">
        <v>2</v>
      </c>
      <c r="Q11" s="17" t="s">
        <v>15</v>
      </c>
      <c r="R11" s="17">
        <v>1</v>
      </c>
      <c r="S11" s="148">
        <v>190</v>
      </c>
      <c r="T11" s="148">
        <v>70</v>
      </c>
      <c r="U11" s="19">
        <v>76</v>
      </c>
      <c r="V11" s="150">
        <v>37</v>
      </c>
      <c r="W11" s="86">
        <v>68</v>
      </c>
      <c r="X11" s="87">
        <f>($V11/($AA11-$Z11))*($N12-$Z11)</f>
        <v>28.4365522745411</v>
      </c>
      <c r="Y11" s="88">
        <f>IF((W11-X11)&lt;0,(X11-W11),(W11-X11))</f>
        <v>39.5634477254589</v>
      </c>
      <c r="Z11" s="152">
        <v>45142</v>
      </c>
      <c r="AA11" s="154">
        <v>46395</v>
      </c>
      <c r="AB11" s="66" t="s">
        <v>15</v>
      </c>
      <c r="AC11" s="66" t="s">
        <v>15</v>
      </c>
      <c r="AD11" s="154">
        <v>46082</v>
      </c>
      <c r="AE11" s="154">
        <v>46446</v>
      </c>
      <c r="AF11" s="182">
        <f ca="1">AA11-TODAY()</f>
        <v>290</v>
      </c>
      <c r="AG11" s="183" t="s">
        <v>191</v>
      </c>
      <c r="AH11" s="184"/>
      <c r="AI11" s="216" t="s">
        <v>261</v>
      </c>
      <c r="AJ11" s="201"/>
    </row>
    <row r="12" spans="2:36" s="46" customFormat="1" ht="24.95" customHeight="1" outlineLevel="1" x14ac:dyDescent="0.3">
      <c r="B12" s="280"/>
      <c r="C12" s="143"/>
      <c r="D12" s="143"/>
      <c r="E12" s="143"/>
      <c r="F12" s="143"/>
      <c r="G12" s="175"/>
      <c r="H12" s="177"/>
      <c r="I12" s="178"/>
      <c r="J12" s="173"/>
      <c r="K12" s="164"/>
      <c r="L12" s="165"/>
      <c r="M12" s="22" t="s">
        <v>243</v>
      </c>
      <c r="N12" s="23">
        <v>46105</v>
      </c>
      <c r="O12" s="24" t="str">
        <f>IF(O11&gt;0,"초과","미달")</f>
        <v>미달</v>
      </c>
      <c r="P12" s="60">
        <f>$P11/$J11</f>
        <v>1</v>
      </c>
      <c r="Q12" s="61" t="s">
        <v>15</v>
      </c>
      <c r="R12" s="61">
        <f>IF($R11/$J11=0,"-",$R11/$J11)</f>
        <v>0.5</v>
      </c>
      <c r="S12" s="167"/>
      <c r="T12" s="167"/>
      <c r="U12" s="25" t="str">
        <f>IF((T11-U11)&lt;0,(U11-T11)&amp;"㎥"&amp;" "&amp;"미달",(T11-U11)&amp;"㎥"&amp;" "&amp;"초과")</f>
        <v>6㎥ 미달</v>
      </c>
      <c r="V12" s="169"/>
      <c r="W12" s="75">
        <f>$W11/$V11</f>
        <v>1.8378378378378379</v>
      </c>
      <c r="X12" s="75">
        <f>X11/V11</f>
        <v>0.76855546687948917</v>
      </c>
      <c r="Y12" s="25" t="str">
        <f>IF((W11-X11)&lt;0,"미달","초과")</f>
        <v>초과</v>
      </c>
      <c r="Z12" s="171"/>
      <c r="AA12" s="173"/>
      <c r="AB12" s="85" t="s">
        <v>15</v>
      </c>
      <c r="AC12" s="80" t="str">
        <f>IFERROR(AC11-AB11,"-")</f>
        <v>-</v>
      </c>
      <c r="AD12" s="174"/>
      <c r="AE12" s="173"/>
      <c r="AF12" s="130"/>
      <c r="AG12" s="133"/>
      <c r="AH12" s="134"/>
      <c r="AI12" s="188"/>
      <c r="AJ12" s="189"/>
    </row>
    <row r="13" spans="2:36" s="46" customFormat="1" ht="24.95" customHeight="1" outlineLevel="1" x14ac:dyDescent="0.3">
      <c r="B13" s="280"/>
      <c r="C13" s="143"/>
      <c r="D13" s="143"/>
      <c r="E13" s="143"/>
      <c r="F13" s="143"/>
      <c r="G13" s="175"/>
      <c r="H13" s="139" t="s">
        <v>24</v>
      </c>
      <c r="I13" s="141" t="s">
        <v>15</v>
      </c>
      <c r="J13" s="143" t="s">
        <v>15</v>
      </c>
      <c r="K13" s="143" t="s">
        <v>15</v>
      </c>
      <c r="L13" s="143" t="s">
        <v>15</v>
      </c>
      <c r="M13" s="27" t="s">
        <v>15</v>
      </c>
      <c r="N13" s="28" t="s">
        <v>15</v>
      </c>
      <c r="O13" s="29" t="s">
        <v>15</v>
      </c>
      <c r="P13" s="30" t="s">
        <v>15</v>
      </c>
      <c r="Q13" s="28" t="s">
        <v>15</v>
      </c>
      <c r="R13" s="28" t="s">
        <v>15</v>
      </c>
      <c r="S13" s="202" t="s">
        <v>15</v>
      </c>
      <c r="T13" s="202" t="s">
        <v>15</v>
      </c>
      <c r="U13" s="31" t="s">
        <v>15</v>
      </c>
      <c r="V13" s="205" t="s">
        <v>15</v>
      </c>
      <c r="W13" s="192" t="s">
        <v>15</v>
      </c>
      <c r="X13" s="27" t="s">
        <v>15</v>
      </c>
      <c r="Y13" s="32" t="s">
        <v>15</v>
      </c>
      <c r="Z13" s="205" t="s">
        <v>15</v>
      </c>
      <c r="AA13" s="192" t="s">
        <v>15</v>
      </c>
      <c r="AB13" s="71" t="s">
        <v>15</v>
      </c>
      <c r="AC13" s="71" t="s">
        <v>15</v>
      </c>
      <c r="AD13" s="209" t="s">
        <v>15</v>
      </c>
      <c r="AE13" s="192" t="s">
        <v>15</v>
      </c>
      <c r="AF13" s="206" t="s">
        <v>15</v>
      </c>
      <c r="AG13" s="213"/>
      <c r="AH13" s="214"/>
      <c r="AI13" s="135"/>
      <c r="AJ13" s="136"/>
    </row>
    <row r="14" spans="2:36" s="46" customFormat="1" ht="23.25" customHeight="1" outlineLevel="1" x14ac:dyDescent="0.3">
      <c r="B14" s="281"/>
      <c r="C14" s="173"/>
      <c r="D14" s="173"/>
      <c r="E14" s="173"/>
      <c r="F14" s="173"/>
      <c r="G14" s="194"/>
      <c r="H14" s="177"/>
      <c r="I14" s="178"/>
      <c r="J14" s="173"/>
      <c r="K14" s="173"/>
      <c r="L14" s="173"/>
      <c r="M14" s="81" t="s">
        <v>15</v>
      </c>
      <c r="N14" s="82" t="s">
        <v>15</v>
      </c>
      <c r="O14" s="83" t="s">
        <v>15</v>
      </c>
      <c r="P14" s="84" t="s">
        <v>15</v>
      </c>
      <c r="Q14" s="67" t="s">
        <v>15</v>
      </c>
      <c r="R14" s="67" t="s">
        <v>15</v>
      </c>
      <c r="S14" s="203"/>
      <c r="T14" s="203"/>
      <c r="U14" s="40" t="s">
        <v>15</v>
      </c>
      <c r="V14" s="171"/>
      <c r="W14" s="173"/>
      <c r="X14" s="41" t="s">
        <v>15</v>
      </c>
      <c r="Y14" s="40" t="s">
        <v>15</v>
      </c>
      <c r="Z14" s="171"/>
      <c r="AA14" s="173"/>
      <c r="AB14" s="41" t="s">
        <v>15</v>
      </c>
      <c r="AC14" s="67" t="s">
        <v>15</v>
      </c>
      <c r="AD14" s="187"/>
      <c r="AE14" s="173"/>
      <c r="AF14" s="225"/>
      <c r="AG14" s="215"/>
      <c r="AH14" s="187"/>
      <c r="AI14" s="137"/>
      <c r="AJ14" s="138"/>
    </row>
    <row r="15" spans="2:36" s="46" customFormat="1" ht="102.75" customHeight="1" outlineLevel="1" x14ac:dyDescent="0.3">
      <c r="B15" s="279">
        <v>3</v>
      </c>
      <c r="C15" s="192" t="s">
        <v>61</v>
      </c>
      <c r="D15" s="192" t="s">
        <v>62</v>
      </c>
      <c r="E15" s="192" t="s">
        <v>121</v>
      </c>
      <c r="F15" s="192" t="s">
        <v>14</v>
      </c>
      <c r="G15" s="193" t="s">
        <v>122</v>
      </c>
      <c r="H15" s="195" t="s">
        <v>23</v>
      </c>
      <c r="I15" s="196">
        <v>0.85</v>
      </c>
      <c r="J15" s="192">
        <v>10</v>
      </c>
      <c r="K15" s="190" t="s">
        <v>123</v>
      </c>
      <c r="L15" s="191">
        <v>0.47099999999999997</v>
      </c>
      <c r="M15" s="15">
        <v>0.78500000000000003</v>
      </c>
      <c r="N15" s="15">
        <f>IF((((($I15-$L15)/($AD15-$Z15))*($N16-$Z15))+$L15)&gt;0.85,$I15,((($I15-$L15)/($AD15-$Z15))*($N16-$Z15))+$L15)</f>
        <v>0.85</v>
      </c>
      <c r="O15" s="15">
        <f>M15-N15</f>
        <v>-6.4999999999999947E-2</v>
      </c>
      <c r="P15" s="16">
        <v>10</v>
      </c>
      <c r="Q15" s="17" t="s">
        <v>15</v>
      </c>
      <c r="R15" s="18" t="s">
        <v>15</v>
      </c>
      <c r="S15" s="148" t="s">
        <v>15</v>
      </c>
      <c r="T15" s="148" t="s">
        <v>15</v>
      </c>
      <c r="U15" s="19" t="s">
        <v>15</v>
      </c>
      <c r="V15" s="205" t="s">
        <v>15</v>
      </c>
      <c r="W15" s="192" t="s">
        <v>15</v>
      </c>
      <c r="X15" s="20" t="s">
        <v>15</v>
      </c>
      <c r="Y15" s="21" t="s">
        <v>15</v>
      </c>
      <c r="Z15" s="152">
        <v>44550</v>
      </c>
      <c r="AA15" s="154">
        <v>46358</v>
      </c>
      <c r="AB15" s="66" t="s">
        <v>15</v>
      </c>
      <c r="AC15" s="66" t="s">
        <v>15</v>
      </c>
      <c r="AD15" s="154">
        <v>45891</v>
      </c>
      <c r="AE15" s="154">
        <v>46255</v>
      </c>
      <c r="AF15" s="182">
        <f ca="1">AA15-TODAY()</f>
        <v>253</v>
      </c>
      <c r="AG15" s="183" t="s">
        <v>216</v>
      </c>
      <c r="AH15" s="184"/>
      <c r="AI15" s="216" t="s">
        <v>235</v>
      </c>
      <c r="AJ15" s="201"/>
    </row>
    <row r="16" spans="2:36" s="46" customFormat="1" ht="23.25" customHeight="1" outlineLevel="1" x14ac:dyDescent="0.3">
      <c r="B16" s="280"/>
      <c r="C16" s="143"/>
      <c r="D16" s="143"/>
      <c r="E16" s="143"/>
      <c r="F16" s="143"/>
      <c r="G16" s="175"/>
      <c r="H16" s="177"/>
      <c r="I16" s="178"/>
      <c r="J16" s="173"/>
      <c r="K16" s="164"/>
      <c r="L16" s="165"/>
      <c r="M16" s="22" t="s">
        <v>189</v>
      </c>
      <c r="N16" s="23">
        <v>46105</v>
      </c>
      <c r="O16" s="24" t="str">
        <f>IF(O15&gt;0,"초과","미달")</f>
        <v>미달</v>
      </c>
      <c r="P16" s="60">
        <f>$P15/$J15</f>
        <v>1</v>
      </c>
      <c r="Q16" s="61" t="s">
        <v>15</v>
      </c>
      <c r="R16" s="61" t="s">
        <v>15</v>
      </c>
      <c r="S16" s="167"/>
      <c r="T16" s="167"/>
      <c r="U16" s="25" t="s">
        <v>15</v>
      </c>
      <c r="V16" s="171"/>
      <c r="W16" s="173"/>
      <c r="X16" s="26" t="s">
        <v>15</v>
      </c>
      <c r="Y16" s="25" t="s">
        <v>15</v>
      </c>
      <c r="Z16" s="171"/>
      <c r="AA16" s="173"/>
      <c r="AB16" s="85" t="s">
        <v>15</v>
      </c>
      <c r="AC16" s="80" t="str">
        <f>IFERROR(AC15-AB15,"-")</f>
        <v>-</v>
      </c>
      <c r="AD16" s="174"/>
      <c r="AE16" s="173"/>
      <c r="AF16" s="130"/>
      <c r="AG16" s="133"/>
      <c r="AH16" s="134"/>
      <c r="AI16" s="188"/>
      <c r="AJ16" s="189"/>
    </row>
    <row r="17" spans="2:36" s="46" customFormat="1" ht="23.25" customHeight="1" outlineLevel="1" x14ac:dyDescent="0.3">
      <c r="B17" s="280"/>
      <c r="C17" s="143"/>
      <c r="D17" s="143"/>
      <c r="E17" s="143"/>
      <c r="F17" s="143"/>
      <c r="G17" s="175"/>
      <c r="H17" s="139" t="s">
        <v>24</v>
      </c>
      <c r="I17" s="141" t="s">
        <v>15</v>
      </c>
      <c r="J17" s="143" t="s">
        <v>15</v>
      </c>
      <c r="K17" s="143" t="s">
        <v>15</v>
      </c>
      <c r="L17" s="143" t="s">
        <v>15</v>
      </c>
      <c r="M17" s="27" t="s">
        <v>15</v>
      </c>
      <c r="N17" s="28" t="s">
        <v>15</v>
      </c>
      <c r="O17" s="29" t="s">
        <v>15</v>
      </c>
      <c r="P17" s="30" t="s">
        <v>15</v>
      </c>
      <c r="Q17" s="28" t="s">
        <v>15</v>
      </c>
      <c r="R17" s="28" t="s">
        <v>15</v>
      </c>
      <c r="S17" s="202" t="s">
        <v>15</v>
      </c>
      <c r="T17" s="202" t="s">
        <v>15</v>
      </c>
      <c r="U17" s="31" t="s">
        <v>15</v>
      </c>
      <c r="V17" s="205" t="s">
        <v>15</v>
      </c>
      <c r="W17" s="192" t="s">
        <v>15</v>
      </c>
      <c r="X17" s="27" t="s">
        <v>15</v>
      </c>
      <c r="Y17" s="32" t="s">
        <v>15</v>
      </c>
      <c r="Z17" s="205" t="s">
        <v>15</v>
      </c>
      <c r="AA17" s="192" t="s">
        <v>15</v>
      </c>
      <c r="AB17" s="71" t="s">
        <v>15</v>
      </c>
      <c r="AC17" s="71" t="s">
        <v>15</v>
      </c>
      <c r="AD17" s="209" t="s">
        <v>15</v>
      </c>
      <c r="AE17" s="192" t="s">
        <v>15</v>
      </c>
      <c r="AF17" s="206" t="s">
        <v>15</v>
      </c>
      <c r="AG17" s="213"/>
      <c r="AH17" s="214"/>
      <c r="AI17" s="135"/>
      <c r="AJ17" s="136"/>
    </row>
    <row r="18" spans="2:36" s="46" customFormat="1" ht="23.25" customHeight="1" outlineLevel="1" x14ac:dyDescent="0.3">
      <c r="B18" s="281"/>
      <c r="C18" s="173"/>
      <c r="D18" s="173"/>
      <c r="E18" s="173"/>
      <c r="F18" s="173"/>
      <c r="G18" s="194"/>
      <c r="H18" s="177"/>
      <c r="I18" s="178"/>
      <c r="J18" s="173"/>
      <c r="K18" s="173"/>
      <c r="L18" s="173"/>
      <c r="M18" s="81" t="s">
        <v>15</v>
      </c>
      <c r="N18" s="82" t="s">
        <v>15</v>
      </c>
      <c r="O18" s="83" t="s">
        <v>15</v>
      </c>
      <c r="P18" s="84" t="s">
        <v>15</v>
      </c>
      <c r="Q18" s="67" t="s">
        <v>15</v>
      </c>
      <c r="R18" s="67" t="s">
        <v>15</v>
      </c>
      <c r="S18" s="203"/>
      <c r="T18" s="203"/>
      <c r="U18" s="40" t="s">
        <v>15</v>
      </c>
      <c r="V18" s="171"/>
      <c r="W18" s="173"/>
      <c r="X18" s="41" t="s">
        <v>15</v>
      </c>
      <c r="Y18" s="40" t="s">
        <v>15</v>
      </c>
      <c r="Z18" s="171"/>
      <c r="AA18" s="173"/>
      <c r="AB18" s="41" t="s">
        <v>15</v>
      </c>
      <c r="AC18" s="67" t="s">
        <v>15</v>
      </c>
      <c r="AD18" s="187"/>
      <c r="AE18" s="173"/>
      <c r="AF18" s="225"/>
      <c r="AG18" s="215"/>
      <c r="AH18" s="187"/>
      <c r="AI18" s="137"/>
      <c r="AJ18" s="138"/>
    </row>
    <row r="19" spans="2:36" s="46" customFormat="1" ht="53.25" customHeight="1" outlineLevel="1" x14ac:dyDescent="0.3">
      <c r="B19" s="280">
        <v>4</v>
      </c>
      <c r="C19" s="143" t="s">
        <v>61</v>
      </c>
      <c r="D19" s="143" t="s">
        <v>62</v>
      </c>
      <c r="E19" s="143" t="s">
        <v>124</v>
      </c>
      <c r="F19" s="143" t="s">
        <v>14</v>
      </c>
      <c r="G19" s="175" t="s">
        <v>125</v>
      </c>
      <c r="H19" s="139" t="s">
        <v>23</v>
      </c>
      <c r="I19" s="141">
        <v>0.85</v>
      </c>
      <c r="J19" s="143">
        <v>8</v>
      </c>
      <c r="K19" s="145" t="s">
        <v>123</v>
      </c>
      <c r="L19" s="146">
        <v>0.47099999999999997</v>
      </c>
      <c r="M19" s="58">
        <v>0.51200000000000001</v>
      </c>
      <c r="N19" s="15">
        <f>IF((((($I19-$L19)/($AD19-$Z19))*($N20-$Z19))+$L19)&gt;0.85,$I19,((($I19-$L19)/($AD19-$Z19))*($N20-$Z19))+$L19)</f>
        <v>0.62394955489614246</v>
      </c>
      <c r="O19" s="58">
        <f>M19-N19</f>
        <v>-0.11194955489614244</v>
      </c>
      <c r="P19" s="30">
        <v>8</v>
      </c>
      <c r="Q19" s="59" t="s">
        <v>15</v>
      </c>
      <c r="R19" s="73" t="s">
        <v>15</v>
      </c>
      <c r="S19" s="166" t="s">
        <v>15</v>
      </c>
      <c r="T19" s="166" t="s">
        <v>15</v>
      </c>
      <c r="U19" s="31" t="s">
        <v>15</v>
      </c>
      <c r="V19" s="181" t="s">
        <v>15</v>
      </c>
      <c r="W19" s="143" t="s">
        <v>15</v>
      </c>
      <c r="X19" s="27" t="s">
        <v>15</v>
      </c>
      <c r="Y19" s="32" t="s">
        <v>15</v>
      </c>
      <c r="Z19" s="170">
        <v>45833</v>
      </c>
      <c r="AA19" s="172">
        <v>46911</v>
      </c>
      <c r="AB19" s="66" t="s">
        <v>15</v>
      </c>
      <c r="AC19" s="66" t="s">
        <v>15</v>
      </c>
      <c r="AD19" s="172">
        <v>46507</v>
      </c>
      <c r="AE19" s="172">
        <v>46873</v>
      </c>
      <c r="AF19" s="129">
        <f ca="1">AA19-TODAY()</f>
        <v>806</v>
      </c>
      <c r="AG19" s="131" t="s">
        <v>201</v>
      </c>
      <c r="AH19" s="132"/>
      <c r="AI19" s="160" t="s">
        <v>217</v>
      </c>
      <c r="AJ19" s="161"/>
    </row>
    <row r="20" spans="2:36" s="46" customFormat="1" ht="23.25" customHeight="1" outlineLevel="1" x14ac:dyDescent="0.3">
      <c r="B20" s="280"/>
      <c r="C20" s="143"/>
      <c r="D20" s="143"/>
      <c r="E20" s="143"/>
      <c r="F20" s="143"/>
      <c r="G20" s="175"/>
      <c r="H20" s="177"/>
      <c r="I20" s="178"/>
      <c r="J20" s="173"/>
      <c r="K20" s="164"/>
      <c r="L20" s="165"/>
      <c r="M20" s="22" t="s">
        <v>189</v>
      </c>
      <c r="N20" s="23">
        <v>46105</v>
      </c>
      <c r="O20" s="24" t="str">
        <f>IF(O19&gt;0,"초과","미달")</f>
        <v>미달</v>
      </c>
      <c r="P20" s="60">
        <f>$P19/$J19</f>
        <v>1</v>
      </c>
      <c r="Q20" s="61" t="s">
        <v>15</v>
      </c>
      <c r="R20" s="61" t="s">
        <v>15</v>
      </c>
      <c r="S20" s="167"/>
      <c r="T20" s="167"/>
      <c r="U20" s="25" t="s">
        <v>15</v>
      </c>
      <c r="V20" s="171"/>
      <c r="W20" s="173"/>
      <c r="X20" s="26" t="s">
        <v>15</v>
      </c>
      <c r="Y20" s="25" t="s">
        <v>15</v>
      </c>
      <c r="Z20" s="171"/>
      <c r="AA20" s="173"/>
      <c r="AB20" s="85" t="s">
        <v>15</v>
      </c>
      <c r="AC20" s="80" t="str">
        <f>IFERROR(AC19-AB19,"-")</f>
        <v>-</v>
      </c>
      <c r="AD20" s="174"/>
      <c r="AE20" s="173"/>
      <c r="AF20" s="130"/>
      <c r="AG20" s="133"/>
      <c r="AH20" s="134"/>
      <c r="AI20" s="188"/>
      <c r="AJ20" s="189"/>
    </row>
    <row r="21" spans="2:36" s="46" customFormat="1" ht="23.25" customHeight="1" outlineLevel="1" x14ac:dyDescent="0.3">
      <c r="B21" s="280"/>
      <c r="C21" s="143"/>
      <c r="D21" s="143"/>
      <c r="E21" s="143"/>
      <c r="F21" s="143"/>
      <c r="G21" s="175"/>
      <c r="H21" s="139" t="s">
        <v>24</v>
      </c>
      <c r="I21" s="141" t="s">
        <v>15</v>
      </c>
      <c r="J21" s="143" t="s">
        <v>15</v>
      </c>
      <c r="K21" s="143" t="s">
        <v>15</v>
      </c>
      <c r="L21" s="143" t="s">
        <v>15</v>
      </c>
      <c r="M21" s="27" t="s">
        <v>15</v>
      </c>
      <c r="N21" s="28" t="s">
        <v>15</v>
      </c>
      <c r="O21" s="29" t="s">
        <v>15</v>
      </c>
      <c r="P21" s="30" t="s">
        <v>15</v>
      </c>
      <c r="Q21" s="28" t="s">
        <v>15</v>
      </c>
      <c r="R21" s="28" t="s">
        <v>15</v>
      </c>
      <c r="S21" s="202" t="s">
        <v>15</v>
      </c>
      <c r="T21" s="202" t="s">
        <v>15</v>
      </c>
      <c r="U21" s="31" t="s">
        <v>15</v>
      </c>
      <c r="V21" s="205" t="s">
        <v>15</v>
      </c>
      <c r="W21" s="192" t="s">
        <v>15</v>
      </c>
      <c r="X21" s="27" t="s">
        <v>15</v>
      </c>
      <c r="Y21" s="32" t="s">
        <v>15</v>
      </c>
      <c r="Z21" s="205" t="s">
        <v>15</v>
      </c>
      <c r="AA21" s="192" t="s">
        <v>15</v>
      </c>
      <c r="AB21" s="71" t="s">
        <v>15</v>
      </c>
      <c r="AC21" s="71" t="s">
        <v>15</v>
      </c>
      <c r="AD21" s="209" t="s">
        <v>15</v>
      </c>
      <c r="AE21" s="192" t="s">
        <v>15</v>
      </c>
      <c r="AF21" s="206" t="s">
        <v>15</v>
      </c>
      <c r="AG21" s="213"/>
      <c r="AH21" s="214"/>
      <c r="AI21" s="135"/>
      <c r="AJ21" s="136"/>
    </row>
    <row r="22" spans="2:36" s="46" customFormat="1" ht="23.25" customHeight="1" outlineLevel="1" thickBot="1" x14ac:dyDescent="0.35">
      <c r="B22" s="282"/>
      <c r="C22" s="144"/>
      <c r="D22" s="144"/>
      <c r="E22" s="144"/>
      <c r="F22" s="144"/>
      <c r="G22" s="176"/>
      <c r="H22" s="140"/>
      <c r="I22" s="142"/>
      <c r="J22" s="144"/>
      <c r="K22" s="144"/>
      <c r="L22" s="144"/>
      <c r="M22" s="33" t="s">
        <v>15</v>
      </c>
      <c r="N22" s="62" t="s">
        <v>15</v>
      </c>
      <c r="O22" s="63" t="s">
        <v>15</v>
      </c>
      <c r="P22" s="34" t="s">
        <v>15</v>
      </c>
      <c r="Q22" s="35" t="s">
        <v>15</v>
      </c>
      <c r="R22" s="35" t="s">
        <v>15</v>
      </c>
      <c r="S22" s="204"/>
      <c r="T22" s="204"/>
      <c r="U22" s="36" t="s">
        <v>15</v>
      </c>
      <c r="V22" s="153"/>
      <c r="W22" s="144"/>
      <c r="X22" s="37" t="s">
        <v>15</v>
      </c>
      <c r="Y22" s="36" t="s">
        <v>15</v>
      </c>
      <c r="Z22" s="153"/>
      <c r="AA22" s="144"/>
      <c r="AB22" s="37" t="s">
        <v>15</v>
      </c>
      <c r="AC22" s="35" t="s">
        <v>15</v>
      </c>
      <c r="AD22" s="156"/>
      <c r="AE22" s="144"/>
      <c r="AF22" s="207"/>
      <c r="AG22" s="210"/>
      <c r="AH22" s="156"/>
      <c r="AI22" s="211"/>
      <c r="AJ22" s="212"/>
    </row>
    <row r="23" spans="2:36" s="45" customFormat="1" ht="37.5" customHeight="1" thickBot="1" x14ac:dyDescent="0.35">
      <c r="B23" s="263" t="s">
        <v>90</v>
      </c>
      <c r="C23" s="264"/>
      <c r="D23" s="264"/>
      <c r="E23" s="264"/>
      <c r="F23" s="264"/>
      <c r="G23" s="264"/>
      <c r="H23" s="264"/>
      <c r="I23" s="264"/>
      <c r="J23" s="264"/>
      <c r="K23" s="264"/>
      <c r="L23" s="264"/>
      <c r="M23" s="264"/>
      <c r="N23" s="264"/>
      <c r="O23" s="264"/>
      <c r="P23" s="264"/>
      <c r="Q23" s="264"/>
      <c r="R23" s="264"/>
      <c r="S23" s="264"/>
      <c r="T23" s="264"/>
      <c r="U23" s="264"/>
      <c r="V23" s="264"/>
      <c r="W23" s="264"/>
      <c r="X23" s="264"/>
      <c r="Y23" s="264"/>
      <c r="Z23" s="264"/>
      <c r="AA23" s="264"/>
      <c r="AB23" s="264"/>
      <c r="AC23" s="264"/>
      <c r="AD23" s="264"/>
      <c r="AE23" s="264"/>
      <c r="AF23" s="264"/>
      <c r="AG23" s="264"/>
      <c r="AH23" s="264"/>
      <c r="AI23" s="264"/>
      <c r="AJ23" s="265"/>
    </row>
    <row r="24" spans="2:36" s="46" customFormat="1" ht="44.25" customHeight="1" outlineLevel="1" x14ac:dyDescent="0.3">
      <c r="B24" s="280">
        <v>1</v>
      </c>
      <c r="C24" s="143" t="s">
        <v>156</v>
      </c>
      <c r="D24" s="143" t="s">
        <v>157</v>
      </c>
      <c r="E24" s="145" t="s">
        <v>158</v>
      </c>
      <c r="F24" s="192" t="s">
        <v>36</v>
      </c>
      <c r="G24" s="175" t="s">
        <v>159</v>
      </c>
      <c r="H24" s="195" t="s">
        <v>23</v>
      </c>
      <c r="I24" s="196">
        <v>0.85</v>
      </c>
      <c r="J24" s="192">
        <v>19</v>
      </c>
      <c r="K24" s="190" t="s">
        <v>160</v>
      </c>
      <c r="L24" s="196">
        <v>0.80400000000000005</v>
      </c>
      <c r="M24" s="38">
        <v>0.82399999999999995</v>
      </c>
      <c r="N24" s="15">
        <f>IF((((($I24-$L24)/($AD24-$Z24))*($N25-$Z24))+$L24)&gt;0.85,$I24,((($I24-$L24)/($AD24-$Z24))*($N25-$Z24))+$L24)</f>
        <v>0.82303013698630134</v>
      </c>
      <c r="O24" s="15">
        <f>M24-N24</f>
        <v>9.6986301369861305E-4</v>
      </c>
      <c r="P24" s="30">
        <v>14</v>
      </c>
      <c r="Q24" s="39" t="s">
        <v>15</v>
      </c>
      <c r="R24" s="39" t="s">
        <v>15</v>
      </c>
      <c r="S24" s="202" t="s">
        <v>15</v>
      </c>
      <c r="T24" s="202" t="s">
        <v>15</v>
      </c>
      <c r="U24" s="19" t="s">
        <v>15</v>
      </c>
      <c r="V24" s="205" t="s">
        <v>15</v>
      </c>
      <c r="W24" s="192" t="s">
        <v>15</v>
      </c>
      <c r="X24" s="20" t="s">
        <v>15</v>
      </c>
      <c r="Y24" s="21" t="s">
        <v>15</v>
      </c>
      <c r="Z24" s="152">
        <v>45803</v>
      </c>
      <c r="AA24" s="154">
        <v>46898</v>
      </c>
      <c r="AB24" s="66" t="s">
        <v>104</v>
      </c>
      <c r="AC24" s="66" t="s">
        <v>104</v>
      </c>
      <c r="AD24" s="154">
        <v>46533</v>
      </c>
      <c r="AE24" s="154">
        <v>46898</v>
      </c>
      <c r="AF24" s="182">
        <f ca="1">AA24-TODAY()</f>
        <v>793</v>
      </c>
      <c r="AG24" s="183" t="s">
        <v>177</v>
      </c>
      <c r="AH24" s="184"/>
      <c r="AI24" s="216"/>
      <c r="AJ24" s="201"/>
    </row>
    <row r="25" spans="2:36" s="46" customFormat="1" ht="23.25" outlineLevel="1" x14ac:dyDescent="0.3">
      <c r="B25" s="280"/>
      <c r="C25" s="143"/>
      <c r="D25" s="143"/>
      <c r="E25" s="143"/>
      <c r="F25" s="143"/>
      <c r="G25" s="175"/>
      <c r="H25" s="177"/>
      <c r="I25" s="178"/>
      <c r="J25" s="173"/>
      <c r="K25" s="173"/>
      <c r="L25" s="178"/>
      <c r="M25" s="22" t="s">
        <v>189</v>
      </c>
      <c r="N25" s="23">
        <v>46105</v>
      </c>
      <c r="O25" s="24" t="str">
        <f>IF(O24&gt;0,"초과","미달")</f>
        <v>초과</v>
      </c>
      <c r="P25" s="60">
        <f>$P24/$J24</f>
        <v>0.73684210526315785</v>
      </c>
      <c r="Q25" s="65" t="s">
        <v>15</v>
      </c>
      <c r="R25" s="65" t="s">
        <v>15</v>
      </c>
      <c r="S25" s="203"/>
      <c r="T25" s="203"/>
      <c r="U25" s="40" t="s">
        <v>15</v>
      </c>
      <c r="V25" s="171"/>
      <c r="W25" s="173"/>
      <c r="X25" s="41" t="s">
        <v>15</v>
      </c>
      <c r="Y25" s="40" t="s">
        <v>15</v>
      </c>
      <c r="Z25" s="171"/>
      <c r="AA25" s="173"/>
      <c r="AB25" s="26" t="s">
        <v>15</v>
      </c>
      <c r="AC25" s="80" t="str">
        <f>IFERROR(AC24-AB24,"-")</f>
        <v>-</v>
      </c>
      <c r="AD25" s="221"/>
      <c r="AE25" s="173"/>
      <c r="AF25" s="130"/>
      <c r="AG25" s="133"/>
      <c r="AH25" s="134"/>
      <c r="AI25" s="188"/>
      <c r="AJ25" s="189"/>
    </row>
    <row r="26" spans="2:36" s="46" customFormat="1" ht="35.1" customHeight="1" outlineLevel="1" x14ac:dyDescent="0.3">
      <c r="B26" s="280"/>
      <c r="C26" s="143"/>
      <c r="D26" s="143"/>
      <c r="E26" s="143"/>
      <c r="F26" s="143"/>
      <c r="G26" s="175"/>
      <c r="H26" s="195" t="s">
        <v>24</v>
      </c>
      <c r="I26" s="196">
        <v>0.75</v>
      </c>
      <c r="J26" s="192">
        <v>25</v>
      </c>
      <c r="K26" s="190" t="s">
        <v>161</v>
      </c>
      <c r="L26" s="191">
        <v>0.53400000000000003</v>
      </c>
      <c r="M26" s="15">
        <v>0.55500000000000005</v>
      </c>
      <c r="N26" s="15">
        <f>IF((((($I26-$L26)/($AD26-$Z26))*($N27-$Z26))+$L26)&gt;0.85,$I26,((($I26-$L26)/($AD26-$Z26))*($N27-$Z26))+$L26)</f>
        <v>0.62335890410958905</v>
      </c>
      <c r="O26" s="15">
        <f>IFERROR(M26-N26," ")</f>
        <v>-6.8358904109589003E-2</v>
      </c>
      <c r="P26" s="16">
        <v>20</v>
      </c>
      <c r="Q26" s="17" t="s">
        <v>15</v>
      </c>
      <c r="R26" s="18" t="s">
        <v>15</v>
      </c>
      <c r="S26" s="148" t="s">
        <v>15</v>
      </c>
      <c r="T26" s="148" t="s">
        <v>15</v>
      </c>
      <c r="U26" s="19" t="s">
        <v>15</v>
      </c>
      <c r="V26" s="168">
        <v>110</v>
      </c>
      <c r="W26" s="79">
        <v>152</v>
      </c>
      <c r="X26" s="77">
        <f>($V26/($AA26-$Z26))*($N27-$Z26)</f>
        <v>30.337899543378995</v>
      </c>
      <c r="Y26" s="78">
        <f>IF((W26-X26)&lt;0,(X26-W26),(W26-X26))</f>
        <v>121.662100456621</v>
      </c>
      <c r="Z26" s="152">
        <v>45803</v>
      </c>
      <c r="AA26" s="154">
        <v>46898</v>
      </c>
      <c r="AB26" s="66" t="s">
        <v>104</v>
      </c>
      <c r="AC26" s="66" t="s">
        <v>104</v>
      </c>
      <c r="AD26" s="154">
        <v>46533</v>
      </c>
      <c r="AE26" s="154">
        <v>46898</v>
      </c>
      <c r="AF26" s="182">
        <f ca="1">AA26-TODAY()</f>
        <v>793</v>
      </c>
      <c r="AG26" s="183" t="s">
        <v>162</v>
      </c>
      <c r="AH26" s="184"/>
      <c r="AI26" s="185"/>
      <c r="AJ26" s="186"/>
    </row>
    <row r="27" spans="2:36" s="46" customFormat="1" ht="24.95" customHeight="1" outlineLevel="1" x14ac:dyDescent="0.3">
      <c r="B27" s="281"/>
      <c r="C27" s="173"/>
      <c r="D27" s="173"/>
      <c r="E27" s="173"/>
      <c r="F27" s="173"/>
      <c r="G27" s="194"/>
      <c r="H27" s="177"/>
      <c r="I27" s="178"/>
      <c r="J27" s="173"/>
      <c r="K27" s="164"/>
      <c r="L27" s="165"/>
      <c r="M27" s="22" t="s">
        <v>189</v>
      </c>
      <c r="N27" s="23">
        <v>46105</v>
      </c>
      <c r="O27" s="24" t="str">
        <f>IF(O26&gt;0,"초과","미달")</f>
        <v>미달</v>
      </c>
      <c r="P27" s="60">
        <f>$P26/$J26</f>
        <v>0.8</v>
      </c>
      <c r="Q27" s="64" t="s">
        <v>15</v>
      </c>
      <c r="R27" s="64" t="s">
        <v>15</v>
      </c>
      <c r="S27" s="167"/>
      <c r="T27" s="167"/>
      <c r="U27" s="25" t="s">
        <v>15</v>
      </c>
      <c r="V27" s="169"/>
      <c r="W27" s="75">
        <f>$W26/$V26</f>
        <v>1.3818181818181818</v>
      </c>
      <c r="X27" s="75">
        <f>X26/V26</f>
        <v>0.27579908675799086</v>
      </c>
      <c r="Y27" s="25" t="str">
        <f>IF((W26-X26)&lt;0,"미달","초과")</f>
        <v>초과</v>
      </c>
      <c r="Z27" s="171"/>
      <c r="AA27" s="173"/>
      <c r="AB27" s="26" t="s">
        <v>15</v>
      </c>
      <c r="AC27" s="80" t="str">
        <f>IFERROR(AC26-AB26,"-")</f>
        <v>-</v>
      </c>
      <c r="AD27" s="221"/>
      <c r="AE27" s="173"/>
      <c r="AF27" s="130"/>
      <c r="AG27" s="133"/>
      <c r="AH27" s="134"/>
      <c r="AI27" s="137"/>
      <c r="AJ27" s="138"/>
    </row>
    <row r="28" spans="2:36" s="46" customFormat="1" ht="41.25" customHeight="1" outlineLevel="1" x14ac:dyDescent="0.3">
      <c r="B28" s="280">
        <v>2</v>
      </c>
      <c r="C28" s="143" t="s">
        <v>234</v>
      </c>
      <c r="D28" s="143" t="s">
        <v>52</v>
      </c>
      <c r="E28" s="143" t="s">
        <v>53</v>
      </c>
      <c r="F28" s="143" t="s">
        <v>36</v>
      </c>
      <c r="G28" s="175" t="s">
        <v>54</v>
      </c>
      <c r="H28" s="139" t="s">
        <v>37</v>
      </c>
      <c r="I28" s="141">
        <v>0.85</v>
      </c>
      <c r="J28" s="143">
        <v>28</v>
      </c>
      <c r="K28" s="190" t="s">
        <v>114</v>
      </c>
      <c r="L28" s="146">
        <v>0.85</v>
      </c>
      <c r="M28" s="58">
        <v>0.85699999999999998</v>
      </c>
      <c r="N28" s="15">
        <f>IF((((($I28-$L28)/($AD28-$Z28))*($N29-$Z28))+$L28)&gt;0.85,$I28,((($I28-$L28)/($AD28-$Z28))*($N29-$Z28))+$L28)</f>
        <v>0.85</v>
      </c>
      <c r="O28" s="15">
        <f>M28-N28</f>
        <v>7.0000000000000062E-3</v>
      </c>
      <c r="P28" s="30">
        <v>28</v>
      </c>
      <c r="Q28" s="59">
        <v>0</v>
      </c>
      <c r="R28" s="59">
        <v>0</v>
      </c>
      <c r="S28" s="166" t="s">
        <v>15</v>
      </c>
      <c r="T28" s="166" t="s">
        <v>15</v>
      </c>
      <c r="U28" s="31" t="s">
        <v>15</v>
      </c>
      <c r="V28" s="168">
        <v>90</v>
      </c>
      <c r="W28" s="79">
        <v>109</v>
      </c>
      <c r="X28" s="77">
        <f>($V28/($AA28-$Z28))*($N29-$Z28)</f>
        <v>26.405286343612335</v>
      </c>
      <c r="Y28" s="78">
        <f>IF((W28-X28)&lt;0,(X28-W28),(W28-X28))</f>
        <v>82.594713656387668</v>
      </c>
      <c r="Z28" s="170">
        <v>45772</v>
      </c>
      <c r="AA28" s="172">
        <v>46907</v>
      </c>
      <c r="AB28" s="66" t="s">
        <v>104</v>
      </c>
      <c r="AC28" s="66" t="s">
        <v>104</v>
      </c>
      <c r="AD28" s="172">
        <v>46542</v>
      </c>
      <c r="AE28" s="172">
        <v>46907</v>
      </c>
      <c r="AF28" s="129">
        <f ca="1">AA28-TODAY()</f>
        <v>802</v>
      </c>
      <c r="AG28" s="131" t="s">
        <v>215</v>
      </c>
      <c r="AH28" s="132"/>
      <c r="AI28" s="160" t="s">
        <v>169</v>
      </c>
      <c r="AJ28" s="161"/>
    </row>
    <row r="29" spans="2:36" s="46" customFormat="1" ht="24.95" customHeight="1" outlineLevel="1" x14ac:dyDescent="0.3">
      <c r="B29" s="281"/>
      <c r="C29" s="173"/>
      <c r="D29" s="173"/>
      <c r="E29" s="173"/>
      <c r="F29" s="173"/>
      <c r="G29" s="194"/>
      <c r="H29" s="177"/>
      <c r="I29" s="178"/>
      <c r="J29" s="173"/>
      <c r="K29" s="164"/>
      <c r="L29" s="165"/>
      <c r="M29" s="22" t="s">
        <v>189</v>
      </c>
      <c r="N29" s="23">
        <v>46105</v>
      </c>
      <c r="O29" s="24" t="str">
        <f>IF(O28&gt;0,"초과","미달")</f>
        <v>초과</v>
      </c>
      <c r="P29" s="60">
        <f>$P28/$J28</f>
        <v>1</v>
      </c>
      <c r="Q29" s="61" t="str">
        <f>IF($Q28/$J28=0,"-",$Q28/$J28)</f>
        <v>-</v>
      </c>
      <c r="R29" s="61" t="str">
        <f>IF($Q28/$J28=0,"-",$Q28/$J28)</f>
        <v>-</v>
      </c>
      <c r="S29" s="167"/>
      <c r="T29" s="167"/>
      <c r="U29" s="25" t="s">
        <v>15</v>
      </c>
      <c r="V29" s="169"/>
      <c r="W29" s="75">
        <f>$W28/$V28</f>
        <v>1.211111111111111</v>
      </c>
      <c r="X29" s="75">
        <f>X28/V28</f>
        <v>0.29339207048458149</v>
      </c>
      <c r="Y29" s="25" t="str">
        <f>IF((W28-X28)&lt;0,"미달","초과")</f>
        <v>초과</v>
      </c>
      <c r="Z29" s="171"/>
      <c r="AA29" s="173"/>
      <c r="AB29" s="26" t="s">
        <v>15</v>
      </c>
      <c r="AC29" s="80" t="str">
        <f>IFERROR(AC28-AB28,"-")</f>
        <v>-</v>
      </c>
      <c r="AD29" s="221"/>
      <c r="AE29" s="173"/>
      <c r="AF29" s="130"/>
      <c r="AG29" s="133"/>
      <c r="AH29" s="134"/>
      <c r="AI29" s="188"/>
      <c r="AJ29" s="189"/>
    </row>
    <row r="30" spans="2:36" s="46" customFormat="1" ht="49.5" customHeight="1" outlineLevel="1" x14ac:dyDescent="0.3">
      <c r="B30" s="283">
        <v>3</v>
      </c>
      <c r="C30" s="192" t="s">
        <v>59</v>
      </c>
      <c r="D30" s="192" t="s">
        <v>69</v>
      </c>
      <c r="E30" s="192" t="s">
        <v>53</v>
      </c>
      <c r="F30" s="192" t="s">
        <v>36</v>
      </c>
      <c r="G30" s="193" t="s">
        <v>107</v>
      </c>
      <c r="H30" s="195" t="s">
        <v>23</v>
      </c>
      <c r="I30" s="196">
        <v>0.85</v>
      </c>
      <c r="J30" s="192">
        <v>12</v>
      </c>
      <c r="K30" s="190" t="s">
        <v>108</v>
      </c>
      <c r="L30" s="191">
        <v>0.68</v>
      </c>
      <c r="M30" s="15">
        <v>0.77900000000000003</v>
      </c>
      <c r="N30" s="15">
        <f>IF((((($I30-$L30)/($AD30-$Z30))*($N31-$Z30))+$L30)&gt;0.85,$I30,((($I30-$L30)/($AD30-$Z30))*($N31-$Z30))+$L30)</f>
        <v>0.775310650887574</v>
      </c>
      <c r="O30" s="15">
        <f>M30-N30</f>
        <v>3.6893491124260214E-3</v>
      </c>
      <c r="P30" s="16">
        <v>12</v>
      </c>
      <c r="Q30" s="17" t="s">
        <v>15</v>
      </c>
      <c r="R30" s="18" t="s">
        <v>15</v>
      </c>
      <c r="S30" s="148" t="s">
        <v>15</v>
      </c>
      <c r="T30" s="148" t="s">
        <v>15</v>
      </c>
      <c r="U30" s="19" t="s">
        <v>15</v>
      </c>
      <c r="V30" s="205" t="s">
        <v>15</v>
      </c>
      <c r="W30" s="192" t="s">
        <v>15</v>
      </c>
      <c r="X30" s="20" t="s">
        <v>15</v>
      </c>
      <c r="Y30" s="21" t="s">
        <v>15</v>
      </c>
      <c r="Z30" s="152">
        <v>45726</v>
      </c>
      <c r="AA30" s="154">
        <v>46805</v>
      </c>
      <c r="AB30" s="66" t="s">
        <v>104</v>
      </c>
      <c r="AC30" s="66" t="s">
        <v>104</v>
      </c>
      <c r="AD30" s="154">
        <v>46402</v>
      </c>
      <c r="AE30" s="154">
        <v>46736</v>
      </c>
      <c r="AF30" s="182">
        <f ca="1">AA30-TODAY()</f>
        <v>700</v>
      </c>
      <c r="AG30" s="183"/>
      <c r="AH30" s="184"/>
      <c r="AI30" s="216" t="s">
        <v>237</v>
      </c>
      <c r="AJ30" s="201"/>
    </row>
    <row r="31" spans="2:36" s="46" customFormat="1" ht="39.950000000000003" customHeight="1" outlineLevel="1" x14ac:dyDescent="0.3">
      <c r="B31" s="284"/>
      <c r="C31" s="143"/>
      <c r="D31" s="143"/>
      <c r="E31" s="143"/>
      <c r="F31" s="143"/>
      <c r="G31" s="175"/>
      <c r="H31" s="177"/>
      <c r="I31" s="178"/>
      <c r="J31" s="173"/>
      <c r="K31" s="164"/>
      <c r="L31" s="165"/>
      <c r="M31" s="22" t="s">
        <v>213</v>
      </c>
      <c r="N31" s="23">
        <v>46105</v>
      </c>
      <c r="O31" s="24" t="str">
        <f>IF(O30&gt;0,"초과","미달")</f>
        <v>초과</v>
      </c>
      <c r="P31" s="60">
        <f>$P30/$J30</f>
        <v>1</v>
      </c>
      <c r="Q31" s="61" t="s">
        <v>15</v>
      </c>
      <c r="R31" s="61" t="s">
        <v>15</v>
      </c>
      <c r="S31" s="167"/>
      <c r="T31" s="167"/>
      <c r="U31" s="25" t="s">
        <v>15</v>
      </c>
      <c r="V31" s="171"/>
      <c r="W31" s="173"/>
      <c r="X31" s="26" t="s">
        <v>15</v>
      </c>
      <c r="Y31" s="25" t="s">
        <v>15</v>
      </c>
      <c r="Z31" s="171"/>
      <c r="AA31" s="173"/>
      <c r="AB31" s="26" t="s">
        <v>15</v>
      </c>
      <c r="AC31" s="80" t="str">
        <f>IFERROR(AC30-AB30,"-")</f>
        <v>-</v>
      </c>
      <c r="AD31" s="174"/>
      <c r="AE31" s="173"/>
      <c r="AF31" s="130"/>
      <c r="AG31" s="133"/>
      <c r="AH31" s="134"/>
      <c r="AI31" s="188"/>
      <c r="AJ31" s="189"/>
    </row>
    <row r="32" spans="2:36" s="46" customFormat="1" ht="61.5" customHeight="1" outlineLevel="1" x14ac:dyDescent="0.3">
      <c r="B32" s="284"/>
      <c r="C32" s="143"/>
      <c r="D32" s="143"/>
      <c r="E32" s="143"/>
      <c r="F32" s="143"/>
      <c r="G32" s="175"/>
      <c r="H32" s="139" t="s">
        <v>24</v>
      </c>
      <c r="I32" s="141" t="s">
        <v>15</v>
      </c>
      <c r="J32" s="143" t="s">
        <v>15</v>
      </c>
      <c r="K32" s="143" t="s">
        <v>15</v>
      </c>
      <c r="L32" s="143" t="s">
        <v>15</v>
      </c>
      <c r="M32" s="27" t="s">
        <v>15</v>
      </c>
      <c r="N32" s="15" t="s">
        <v>104</v>
      </c>
      <c r="O32" s="29" t="s">
        <v>15</v>
      </c>
      <c r="P32" s="30" t="s">
        <v>15</v>
      </c>
      <c r="Q32" s="28" t="s">
        <v>15</v>
      </c>
      <c r="R32" s="28" t="s">
        <v>15</v>
      </c>
      <c r="S32" s="202" t="s">
        <v>15</v>
      </c>
      <c r="T32" s="202" t="s">
        <v>15</v>
      </c>
      <c r="U32" s="31" t="s">
        <v>15</v>
      </c>
      <c r="V32" s="205" t="s">
        <v>15</v>
      </c>
      <c r="W32" s="192" t="s">
        <v>15</v>
      </c>
      <c r="X32" s="27" t="s">
        <v>15</v>
      </c>
      <c r="Y32" s="32" t="s">
        <v>15</v>
      </c>
      <c r="Z32" s="205" t="s">
        <v>15</v>
      </c>
      <c r="AA32" s="192" t="s">
        <v>15</v>
      </c>
      <c r="AB32" s="71" t="s">
        <v>15</v>
      </c>
      <c r="AC32" s="71" t="s">
        <v>15</v>
      </c>
      <c r="AD32" s="209" t="s">
        <v>15</v>
      </c>
      <c r="AE32" s="192" t="s">
        <v>15</v>
      </c>
      <c r="AF32" s="206" t="s">
        <v>15</v>
      </c>
      <c r="AG32" s="213"/>
      <c r="AH32" s="214"/>
      <c r="AI32" s="160"/>
      <c r="AJ32" s="161"/>
    </row>
    <row r="33" spans="2:36" s="46" customFormat="1" ht="24.95" customHeight="1" outlineLevel="1" x14ac:dyDescent="0.3">
      <c r="B33" s="285"/>
      <c r="C33" s="173"/>
      <c r="D33" s="173"/>
      <c r="E33" s="173"/>
      <c r="F33" s="173"/>
      <c r="G33" s="194"/>
      <c r="H33" s="177"/>
      <c r="I33" s="178"/>
      <c r="J33" s="173"/>
      <c r="K33" s="173"/>
      <c r="L33" s="173"/>
      <c r="M33" s="81" t="s">
        <v>15</v>
      </c>
      <c r="N33" s="82" t="s">
        <v>15</v>
      </c>
      <c r="O33" s="83" t="s">
        <v>15</v>
      </c>
      <c r="P33" s="84" t="s">
        <v>15</v>
      </c>
      <c r="Q33" s="67" t="s">
        <v>15</v>
      </c>
      <c r="R33" s="67" t="s">
        <v>15</v>
      </c>
      <c r="S33" s="203"/>
      <c r="T33" s="203"/>
      <c r="U33" s="40" t="s">
        <v>15</v>
      </c>
      <c r="V33" s="171"/>
      <c r="W33" s="173"/>
      <c r="X33" s="41" t="s">
        <v>15</v>
      </c>
      <c r="Y33" s="40" t="s">
        <v>15</v>
      </c>
      <c r="Z33" s="171"/>
      <c r="AA33" s="173"/>
      <c r="AB33" s="41" t="s">
        <v>15</v>
      </c>
      <c r="AC33" s="67" t="s">
        <v>15</v>
      </c>
      <c r="AD33" s="187"/>
      <c r="AE33" s="173"/>
      <c r="AF33" s="225"/>
      <c r="AG33" s="215"/>
      <c r="AH33" s="187"/>
      <c r="AI33" s="188"/>
      <c r="AJ33" s="189"/>
    </row>
    <row r="34" spans="2:36" s="46" customFormat="1" ht="72.75" customHeight="1" outlineLevel="1" x14ac:dyDescent="0.3">
      <c r="B34" s="279">
        <v>4</v>
      </c>
      <c r="C34" s="192" t="s">
        <v>224</v>
      </c>
      <c r="D34" s="192" t="s">
        <v>65</v>
      </c>
      <c r="E34" s="190" t="s">
        <v>109</v>
      </c>
      <c r="F34" s="192" t="s">
        <v>36</v>
      </c>
      <c r="G34" s="193" t="s">
        <v>106</v>
      </c>
      <c r="H34" s="195" t="s">
        <v>23</v>
      </c>
      <c r="I34" s="196">
        <v>0.85</v>
      </c>
      <c r="J34" s="192">
        <v>11</v>
      </c>
      <c r="K34" s="190" t="s">
        <v>143</v>
      </c>
      <c r="L34" s="191">
        <v>0.8</v>
      </c>
      <c r="M34" s="15">
        <v>0.86899999999999999</v>
      </c>
      <c r="N34" s="15">
        <f>IF((((($I34-$L34)/($AD34-$Z34))*($N35-$Z34))+$L34)&gt;0.85,$I34,((($I34-$L34)/($AD34-$Z34))*($N35-$Z34))+$L34)</f>
        <v>0.85</v>
      </c>
      <c r="O34" s="15">
        <f>M34-N34</f>
        <v>1.9000000000000017E-2</v>
      </c>
      <c r="P34" s="16">
        <v>11</v>
      </c>
      <c r="Q34" s="17">
        <v>0</v>
      </c>
      <c r="R34" s="17">
        <v>0</v>
      </c>
      <c r="S34" s="148" t="s">
        <v>15</v>
      </c>
      <c r="T34" s="148" t="s">
        <v>15</v>
      </c>
      <c r="U34" s="19" t="s">
        <v>15</v>
      </c>
      <c r="V34" s="150">
        <v>17</v>
      </c>
      <c r="W34" s="86">
        <v>14</v>
      </c>
      <c r="X34" s="87">
        <f>($V34/($AA34-$Z34))*($N35-$Z34)</f>
        <v>7.4680259499536605</v>
      </c>
      <c r="Y34" s="88">
        <f>IF((W34-X34)&lt;0,(X34-W34),(W34-X34))</f>
        <v>6.5319740500463395</v>
      </c>
      <c r="Z34" s="152">
        <v>45631</v>
      </c>
      <c r="AA34" s="154">
        <v>46710</v>
      </c>
      <c r="AB34" s="66" t="s">
        <v>15</v>
      </c>
      <c r="AC34" s="66" t="s">
        <v>15</v>
      </c>
      <c r="AD34" s="154">
        <v>45992</v>
      </c>
      <c r="AE34" s="154">
        <v>46356</v>
      </c>
      <c r="AF34" s="182">
        <f ca="1">AA34-TODAY()</f>
        <v>605</v>
      </c>
      <c r="AG34" s="183" t="s">
        <v>260</v>
      </c>
      <c r="AH34" s="184"/>
      <c r="AI34" s="200"/>
      <c r="AJ34" s="201"/>
    </row>
    <row r="35" spans="2:36" s="46" customFormat="1" ht="39.950000000000003" customHeight="1" outlineLevel="1" x14ac:dyDescent="0.3">
      <c r="B35" s="280"/>
      <c r="C35" s="143"/>
      <c r="D35" s="143"/>
      <c r="E35" s="143"/>
      <c r="F35" s="143"/>
      <c r="G35" s="175"/>
      <c r="H35" s="177"/>
      <c r="I35" s="178"/>
      <c r="J35" s="173"/>
      <c r="K35" s="164"/>
      <c r="L35" s="165"/>
      <c r="M35" s="22" t="s">
        <v>243</v>
      </c>
      <c r="N35" s="23">
        <v>46105</v>
      </c>
      <c r="O35" s="24" t="str">
        <f>IF(O34&gt;0,"초과","미달")</f>
        <v>초과</v>
      </c>
      <c r="P35" s="60">
        <f>$P34/$J34</f>
        <v>1</v>
      </c>
      <c r="Q35" s="61" t="str">
        <f>IF($Q34/$J34=0,"-",$Q34/$J34)</f>
        <v>-</v>
      </c>
      <c r="R35" s="61" t="str">
        <f>IF($Q34/$J34=0,"-",$Q34/$J34)</f>
        <v>-</v>
      </c>
      <c r="S35" s="167"/>
      <c r="T35" s="167"/>
      <c r="U35" s="25" t="s">
        <v>15</v>
      </c>
      <c r="V35" s="169"/>
      <c r="W35" s="75">
        <f>$W34/$V34</f>
        <v>0.82352941176470584</v>
      </c>
      <c r="X35" s="75">
        <f>X34/V34</f>
        <v>0.43929564411492122</v>
      </c>
      <c r="Y35" s="25" t="str">
        <f>IF((W34-X34)&lt;0,"미달","초과")</f>
        <v>초과</v>
      </c>
      <c r="Z35" s="171"/>
      <c r="AA35" s="173"/>
      <c r="AB35" s="41" t="s">
        <v>15</v>
      </c>
      <c r="AC35" s="80" t="str">
        <f>IFERROR(AC34-AB34,"-")</f>
        <v>-</v>
      </c>
      <c r="AD35" s="174"/>
      <c r="AE35" s="173"/>
      <c r="AF35" s="130"/>
      <c r="AG35" s="133"/>
      <c r="AH35" s="134"/>
      <c r="AI35" s="188"/>
      <c r="AJ35" s="189"/>
    </row>
    <row r="36" spans="2:36" s="46" customFormat="1" ht="32.1" customHeight="1" outlineLevel="1" x14ac:dyDescent="0.3">
      <c r="B36" s="280"/>
      <c r="C36" s="143"/>
      <c r="D36" s="143"/>
      <c r="E36" s="143"/>
      <c r="F36" s="143"/>
      <c r="G36" s="175"/>
      <c r="H36" s="139" t="s">
        <v>24</v>
      </c>
      <c r="I36" s="141" t="s">
        <v>15</v>
      </c>
      <c r="J36" s="143" t="s">
        <v>15</v>
      </c>
      <c r="K36" s="143" t="s">
        <v>15</v>
      </c>
      <c r="L36" s="143" t="s">
        <v>15</v>
      </c>
      <c r="M36" s="27" t="s">
        <v>15</v>
      </c>
      <c r="N36" s="28" t="s">
        <v>15</v>
      </c>
      <c r="O36" s="29" t="s">
        <v>15</v>
      </c>
      <c r="P36" s="30" t="s">
        <v>15</v>
      </c>
      <c r="Q36" s="28" t="s">
        <v>15</v>
      </c>
      <c r="R36" s="28" t="s">
        <v>15</v>
      </c>
      <c r="S36" s="202" t="s">
        <v>15</v>
      </c>
      <c r="T36" s="202" t="s">
        <v>15</v>
      </c>
      <c r="U36" s="31" t="s">
        <v>15</v>
      </c>
      <c r="V36" s="205" t="s">
        <v>15</v>
      </c>
      <c r="W36" s="192" t="s">
        <v>15</v>
      </c>
      <c r="X36" s="27" t="s">
        <v>15</v>
      </c>
      <c r="Y36" s="32" t="s">
        <v>15</v>
      </c>
      <c r="Z36" s="205" t="s">
        <v>15</v>
      </c>
      <c r="AA36" s="192" t="s">
        <v>15</v>
      </c>
      <c r="AB36" s="71" t="s">
        <v>15</v>
      </c>
      <c r="AC36" s="71" t="s">
        <v>15</v>
      </c>
      <c r="AD36" s="209" t="s">
        <v>15</v>
      </c>
      <c r="AE36" s="192" t="s">
        <v>15</v>
      </c>
      <c r="AF36" s="206" t="s">
        <v>15</v>
      </c>
      <c r="AG36" s="213"/>
      <c r="AH36" s="214"/>
      <c r="AI36" s="135"/>
      <c r="AJ36" s="136"/>
    </row>
    <row r="37" spans="2:36" s="46" customFormat="1" ht="32.1" customHeight="1" outlineLevel="1" x14ac:dyDescent="0.3">
      <c r="B37" s="281"/>
      <c r="C37" s="173"/>
      <c r="D37" s="173"/>
      <c r="E37" s="173"/>
      <c r="F37" s="173"/>
      <c r="G37" s="194"/>
      <c r="H37" s="177"/>
      <c r="I37" s="178"/>
      <c r="J37" s="173"/>
      <c r="K37" s="173"/>
      <c r="L37" s="173"/>
      <c r="M37" s="81" t="s">
        <v>15</v>
      </c>
      <c r="N37" s="82" t="s">
        <v>15</v>
      </c>
      <c r="O37" s="83" t="s">
        <v>15</v>
      </c>
      <c r="P37" s="84" t="s">
        <v>15</v>
      </c>
      <c r="Q37" s="67" t="s">
        <v>15</v>
      </c>
      <c r="R37" s="67" t="s">
        <v>15</v>
      </c>
      <c r="S37" s="203"/>
      <c r="T37" s="203"/>
      <c r="U37" s="40" t="s">
        <v>15</v>
      </c>
      <c r="V37" s="171"/>
      <c r="W37" s="173"/>
      <c r="X37" s="41" t="s">
        <v>15</v>
      </c>
      <c r="Y37" s="40" t="s">
        <v>15</v>
      </c>
      <c r="Z37" s="171"/>
      <c r="AA37" s="173"/>
      <c r="AB37" s="41" t="s">
        <v>15</v>
      </c>
      <c r="AC37" s="67" t="s">
        <v>15</v>
      </c>
      <c r="AD37" s="187"/>
      <c r="AE37" s="173"/>
      <c r="AF37" s="225"/>
      <c r="AG37" s="215"/>
      <c r="AH37" s="187"/>
      <c r="AI37" s="137"/>
      <c r="AJ37" s="138"/>
    </row>
    <row r="38" spans="2:36" s="46" customFormat="1" ht="32.1" customHeight="1" outlineLevel="1" x14ac:dyDescent="0.3">
      <c r="B38" s="280">
        <v>5</v>
      </c>
      <c r="C38" s="143" t="s">
        <v>140</v>
      </c>
      <c r="D38" s="143" t="s">
        <v>136</v>
      </c>
      <c r="E38" s="143" t="s">
        <v>137</v>
      </c>
      <c r="F38" s="143" t="s">
        <v>36</v>
      </c>
      <c r="G38" s="175" t="s">
        <v>138</v>
      </c>
      <c r="H38" s="139" t="s">
        <v>24</v>
      </c>
      <c r="I38" s="141">
        <v>0.85</v>
      </c>
      <c r="J38" s="143">
        <v>8</v>
      </c>
      <c r="K38" s="145" t="s">
        <v>139</v>
      </c>
      <c r="L38" s="146">
        <v>0.79600000000000004</v>
      </c>
      <c r="M38" s="58">
        <v>0.80600000000000005</v>
      </c>
      <c r="N38" s="58">
        <f>IF((((($I38-$L38)/($AD38-$Z38))*($N39-$Z38))+$L38)&gt;0.85,$I38,((($I38-$L38)/($AD38-$Z38))*($N39-$Z38))+$L38)</f>
        <v>0.85</v>
      </c>
      <c r="O38" s="58">
        <f>M38-N38</f>
        <v>-4.3999999999999928E-2</v>
      </c>
      <c r="P38" s="30">
        <v>8</v>
      </c>
      <c r="Q38" s="59">
        <v>0</v>
      </c>
      <c r="R38" s="59">
        <v>2</v>
      </c>
      <c r="S38" s="166" t="s">
        <v>15</v>
      </c>
      <c r="T38" s="166" t="s">
        <v>15</v>
      </c>
      <c r="U38" s="31">
        <v>88</v>
      </c>
      <c r="V38" s="168">
        <v>282</v>
      </c>
      <c r="W38" s="79">
        <v>92</v>
      </c>
      <c r="X38" s="77">
        <f>($V38/($AA38-$Z38))*($N39-$Z38)</f>
        <v>87.641681901279711</v>
      </c>
      <c r="Y38" s="78">
        <f>IF((W38-X38)&lt;0,(X38-W38),(W38-X38))</f>
        <v>4.3583180987202894</v>
      </c>
      <c r="Z38" s="170">
        <v>45765</v>
      </c>
      <c r="AA38" s="172">
        <v>46859</v>
      </c>
      <c r="AB38" s="74" t="s">
        <v>15</v>
      </c>
      <c r="AC38" s="74" t="s">
        <v>15</v>
      </c>
      <c r="AD38" s="172">
        <v>45766</v>
      </c>
      <c r="AE38" s="172">
        <v>46828</v>
      </c>
      <c r="AF38" s="129">
        <f ca="1">AA38-TODAY()</f>
        <v>754</v>
      </c>
      <c r="AG38" s="131"/>
      <c r="AH38" s="132"/>
      <c r="AI38" s="160"/>
      <c r="AJ38" s="161"/>
    </row>
    <row r="39" spans="2:36" s="46" customFormat="1" ht="32.1" customHeight="1" outlineLevel="1" x14ac:dyDescent="0.3">
      <c r="B39" s="281"/>
      <c r="C39" s="173"/>
      <c r="D39" s="173"/>
      <c r="E39" s="173"/>
      <c r="F39" s="173"/>
      <c r="G39" s="194"/>
      <c r="H39" s="177"/>
      <c r="I39" s="178"/>
      <c r="J39" s="173"/>
      <c r="K39" s="164"/>
      <c r="L39" s="165"/>
      <c r="M39" s="22" t="s">
        <v>213</v>
      </c>
      <c r="N39" s="23">
        <v>46105</v>
      </c>
      <c r="O39" s="24" t="str">
        <f>IF(O38&gt;0,"초과","미달")</f>
        <v>미달</v>
      </c>
      <c r="P39" s="60">
        <f>$P38/$J38</f>
        <v>1</v>
      </c>
      <c r="Q39" s="61" t="str">
        <f>IF($Q38/$J38=0,"-",$Q38/$J38)</f>
        <v>-</v>
      </c>
      <c r="R39" s="61">
        <f>IF($R38/$J38=0,"-",$R38/$J38)</f>
        <v>0.25</v>
      </c>
      <c r="S39" s="167"/>
      <c r="T39" s="167"/>
      <c r="U39" s="25" t="s">
        <v>15</v>
      </c>
      <c r="V39" s="169"/>
      <c r="W39" s="75">
        <f>$W38/$V38</f>
        <v>0.32624113475177308</v>
      </c>
      <c r="X39" s="75">
        <f>X38/V38</f>
        <v>0.31078610603290679</v>
      </c>
      <c r="Y39" s="25" t="str">
        <f>IF((W38-X38)&lt;0,"미달","초과")</f>
        <v>초과</v>
      </c>
      <c r="Z39" s="171"/>
      <c r="AA39" s="173"/>
      <c r="AB39" s="26" t="s">
        <v>15</v>
      </c>
      <c r="AC39" s="80" t="str">
        <f>IFERROR(AC38-AB38,"-")</f>
        <v>-</v>
      </c>
      <c r="AD39" s="221"/>
      <c r="AE39" s="173"/>
      <c r="AF39" s="130"/>
      <c r="AG39" s="133"/>
      <c r="AH39" s="134"/>
      <c r="AI39" s="188"/>
      <c r="AJ39" s="189"/>
    </row>
    <row r="40" spans="2:36" s="46" customFormat="1" ht="32.1" customHeight="1" outlineLevel="1" x14ac:dyDescent="0.3">
      <c r="B40" s="279">
        <v>6</v>
      </c>
      <c r="C40" s="192" t="s">
        <v>34</v>
      </c>
      <c r="D40" s="192" t="s">
        <v>144</v>
      </c>
      <c r="E40" s="190" t="s">
        <v>13</v>
      </c>
      <c r="F40" s="192" t="s">
        <v>36</v>
      </c>
      <c r="G40" s="193" t="s">
        <v>145</v>
      </c>
      <c r="H40" s="195" t="s">
        <v>23</v>
      </c>
      <c r="I40" s="196">
        <v>0.85</v>
      </c>
      <c r="J40" s="192">
        <v>5</v>
      </c>
      <c r="K40" s="190" t="s">
        <v>146</v>
      </c>
      <c r="L40" s="191">
        <v>0.91400000000000003</v>
      </c>
      <c r="M40" s="15">
        <v>0.877</v>
      </c>
      <c r="N40" s="15">
        <f>IF((((($I40-$L40)/($AD40-$Z40))*($N41-$Z40))+$L40)&gt;0.85,$I40,((($I40-$L40)/($AD40-$Z40))*($N41-$Z40))+$L40)</f>
        <v>0.85</v>
      </c>
      <c r="O40" s="15">
        <f>M40-N40</f>
        <v>2.7000000000000024E-2</v>
      </c>
      <c r="P40" s="16">
        <v>5</v>
      </c>
      <c r="Q40" s="17" t="s">
        <v>148</v>
      </c>
      <c r="R40" s="17" t="s">
        <v>148</v>
      </c>
      <c r="S40" s="148" t="s">
        <v>15</v>
      </c>
      <c r="T40" s="148" t="s">
        <v>15</v>
      </c>
      <c r="U40" s="19" t="s">
        <v>15</v>
      </c>
      <c r="V40" s="150" t="s">
        <v>148</v>
      </c>
      <c r="W40" s="86" t="s">
        <v>148</v>
      </c>
      <c r="X40" s="87" t="s">
        <v>148</v>
      </c>
      <c r="Y40" s="88" t="s">
        <v>148</v>
      </c>
      <c r="Z40" s="152">
        <v>45780</v>
      </c>
      <c r="AA40" s="154">
        <v>46874</v>
      </c>
      <c r="AB40" s="66" t="s">
        <v>15</v>
      </c>
      <c r="AC40" s="66" t="s">
        <v>15</v>
      </c>
      <c r="AD40" s="154">
        <v>46569</v>
      </c>
      <c r="AE40" s="154">
        <v>46752</v>
      </c>
      <c r="AF40" s="182">
        <f ca="1">AA40-TODAY()</f>
        <v>769</v>
      </c>
      <c r="AG40" s="183"/>
      <c r="AH40" s="184"/>
      <c r="AI40" s="185"/>
      <c r="AJ40" s="186"/>
    </row>
    <row r="41" spans="2:36" s="46" customFormat="1" ht="32.1" customHeight="1" outlineLevel="1" x14ac:dyDescent="0.3">
      <c r="B41" s="280"/>
      <c r="C41" s="143"/>
      <c r="D41" s="143"/>
      <c r="E41" s="143"/>
      <c r="F41" s="143"/>
      <c r="G41" s="175"/>
      <c r="H41" s="177"/>
      <c r="I41" s="178"/>
      <c r="J41" s="173"/>
      <c r="K41" s="164"/>
      <c r="L41" s="165"/>
      <c r="M41" s="22" t="s">
        <v>189</v>
      </c>
      <c r="N41" s="23">
        <v>46105</v>
      </c>
      <c r="O41" s="24" t="str">
        <f>IF(O40&gt;0,"초과","미달")</f>
        <v>초과</v>
      </c>
      <c r="P41" s="60">
        <f>$P40/$J40</f>
        <v>1</v>
      </c>
      <c r="Q41" s="61" t="s">
        <v>148</v>
      </c>
      <c r="R41" s="61" t="s">
        <v>148</v>
      </c>
      <c r="S41" s="167"/>
      <c r="T41" s="167"/>
      <c r="U41" s="25" t="s">
        <v>15</v>
      </c>
      <c r="V41" s="169"/>
      <c r="W41" s="75" t="s">
        <v>148</v>
      </c>
      <c r="X41" s="75" t="s">
        <v>148</v>
      </c>
      <c r="Y41" s="25" t="s">
        <v>148</v>
      </c>
      <c r="Z41" s="171"/>
      <c r="AA41" s="173"/>
      <c r="AB41" s="41" t="s">
        <v>15</v>
      </c>
      <c r="AC41" s="80" t="str">
        <f>IFERROR(AC40-AB40,"-")</f>
        <v>-</v>
      </c>
      <c r="AD41" s="174"/>
      <c r="AE41" s="173"/>
      <c r="AF41" s="130"/>
      <c r="AG41" s="133"/>
      <c r="AH41" s="134"/>
      <c r="AI41" s="137"/>
      <c r="AJ41" s="138"/>
    </row>
    <row r="42" spans="2:36" s="46" customFormat="1" ht="32.1" customHeight="1" outlineLevel="1" x14ac:dyDescent="0.3">
      <c r="B42" s="280"/>
      <c r="C42" s="143"/>
      <c r="D42" s="143"/>
      <c r="E42" s="143"/>
      <c r="F42" s="143"/>
      <c r="G42" s="175"/>
      <c r="H42" s="139" t="s">
        <v>24</v>
      </c>
      <c r="I42" s="141">
        <v>0.72</v>
      </c>
      <c r="J42" s="143">
        <v>96</v>
      </c>
      <c r="K42" s="143" t="s">
        <v>147</v>
      </c>
      <c r="L42" s="146">
        <v>0.70199999999999996</v>
      </c>
      <c r="M42" s="15">
        <v>0.70099999999999996</v>
      </c>
      <c r="N42" s="15">
        <f>IF((((($I42-$L42)/($AD42-$Z42))*($N43-$Z42))+$L42)&gt;0.85,$I42,((($I42-$L42)/($AD42-$Z42))*($N43-$Z42))+$L42)</f>
        <v>0.70941444866920145</v>
      </c>
      <c r="O42" s="15">
        <f>M42-N42</f>
        <v>-8.4144486692014908E-3</v>
      </c>
      <c r="P42" s="30">
        <v>96</v>
      </c>
      <c r="Q42" s="28" t="s">
        <v>15</v>
      </c>
      <c r="R42" s="28" t="s">
        <v>15</v>
      </c>
      <c r="S42" s="202" t="s">
        <v>15</v>
      </c>
      <c r="T42" s="202" t="s">
        <v>15</v>
      </c>
      <c r="U42" s="31" t="s">
        <v>15</v>
      </c>
      <c r="V42" s="168">
        <v>450</v>
      </c>
      <c r="W42" s="79">
        <v>147</v>
      </c>
      <c r="X42" s="77">
        <f>($V42/($AA42-$Z42))*($N43-$Z42)</f>
        <v>133.68372943327239</v>
      </c>
      <c r="Y42" s="78">
        <f>IF((W42-X42)&lt;0,(X42-W42),(W42-X42))</f>
        <v>13.31627056672761</v>
      </c>
      <c r="Z42" s="152">
        <v>45780</v>
      </c>
      <c r="AA42" s="154">
        <v>46874</v>
      </c>
      <c r="AB42" s="66" t="s">
        <v>15</v>
      </c>
      <c r="AC42" s="66" t="s">
        <v>15</v>
      </c>
      <c r="AD42" s="154">
        <v>46569</v>
      </c>
      <c r="AE42" s="154">
        <v>46752</v>
      </c>
      <c r="AF42" s="182">
        <f ca="1">AA42-TODAY()</f>
        <v>769</v>
      </c>
      <c r="AG42" s="213"/>
      <c r="AH42" s="214"/>
      <c r="AI42" s="135"/>
      <c r="AJ42" s="136"/>
    </row>
    <row r="43" spans="2:36" s="46" customFormat="1" ht="32.1" customHeight="1" outlineLevel="1" x14ac:dyDescent="0.3">
      <c r="B43" s="281"/>
      <c r="C43" s="173"/>
      <c r="D43" s="173"/>
      <c r="E43" s="173"/>
      <c r="F43" s="173"/>
      <c r="G43" s="194"/>
      <c r="H43" s="177"/>
      <c r="I43" s="178"/>
      <c r="J43" s="173"/>
      <c r="K43" s="173"/>
      <c r="L43" s="165"/>
      <c r="M43" s="22" t="s">
        <v>189</v>
      </c>
      <c r="N43" s="23">
        <v>46105</v>
      </c>
      <c r="O43" s="24" t="str">
        <f>IF(O42&gt;0,"초과","미달")</f>
        <v>미달</v>
      </c>
      <c r="P43" s="60">
        <f>$P42/$J42</f>
        <v>1</v>
      </c>
      <c r="Q43" s="61" t="s">
        <v>148</v>
      </c>
      <c r="R43" s="61" t="s">
        <v>148</v>
      </c>
      <c r="S43" s="203"/>
      <c r="T43" s="203"/>
      <c r="U43" s="40" t="s">
        <v>15</v>
      </c>
      <c r="V43" s="169"/>
      <c r="W43" s="75">
        <f>$W42/$V42</f>
        <v>0.32666666666666666</v>
      </c>
      <c r="X43" s="75">
        <f>X42/V42</f>
        <v>0.29707495429616088</v>
      </c>
      <c r="Y43" s="25" t="str">
        <f>IF((W42-X42)&lt;0,"미달","초과")</f>
        <v>초과</v>
      </c>
      <c r="Z43" s="171"/>
      <c r="AA43" s="173"/>
      <c r="AB43" s="41" t="s">
        <v>15</v>
      </c>
      <c r="AC43" s="80" t="str">
        <f>IFERROR(AC42-AB42,"-")</f>
        <v>-</v>
      </c>
      <c r="AD43" s="174"/>
      <c r="AE43" s="173"/>
      <c r="AF43" s="130"/>
      <c r="AG43" s="215"/>
      <c r="AH43" s="187"/>
      <c r="AI43" s="137"/>
      <c r="AJ43" s="138"/>
    </row>
    <row r="44" spans="2:36" s="46" customFormat="1" ht="32.1" customHeight="1" outlineLevel="1" x14ac:dyDescent="0.3">
      <c r="B44" s="279">
        <v>7</v>
      </c>
      <c r="C44" s="192" t="s">
        <v>48</v>
      </c>
      <c r="D44" s="192" t="s">
        <v>67</v>
      </c>
      <c r="E44" s="190" t="s">
        <v>151</v>
      </c>
      <c r="F44" s="192" t="s">
        <v>36</v>
      </c>
      <c r="G44" s="193" t="s">
        <v>152</v>
      </c>
      <c r="H44" s="195" t="s">
        <v>23</v>
      </c>
      <c r="I44" s="196">
        <v>0.88100000000000001</v>
      </c>
      <c r="J44" s="192">
        <v>6</v>
      </c>
      <c r="K44" s="190" t="s">
        <v>149</v>
      </c>
      <c r="L44" s="191">
        <v>0.88100000000000001</v>
      </c>
      <c r="M44" s="15">
        <v>0.874</v>
      </c>
      <c r="N44" s="15">
        <f>IF((((($I44-$L44)/($AD44-$Z44))*($N45-$Z44))+$L44)&gt;0.85,$I44,((($I44-$L44)/($AD44-$Z44))*($N45-$Z44))+$L44)</f>
        <v>0.88100000000000001</v>
      </c>
      <c r="O44" s="15">
        <f>M44-N44</f>
        <v>-7.0000000000000062E-3</v>
      </c>
      <c r="P44" s="16">
        <v>6</v>
      </c>
      <c r="Q44" s="17" t="s">
        <v>148</v>
      </c>
      <c r="R44" s="17" t="s">
        <v>148</v>
      </c>
      <c r="S44" s="148" t="s">
        <v>15</v>
      </c>
      <c r="T44" s="148" t="s">
        <v>15</v>
      </c>
      <c r="U44" s="19" t="s">
        <v>15</v>
      </c>
      <c r="V44" s="150" t="s">
        <v>148</v>
      </c>
      <c r="W44" s="86" t="s">
        <v>148</v>
      </c>
      <c r="X44" s="87" t="s">
        <v>148</v>
      </c>
      <c r="Y44" s="88" t="s">
        <v>148</v>
      </c>
      <c r="Z44" s="152">
        <v>45810</v>
      </c>
      <c r="AA44" s="154">
        <v>46889</v>
      </c>
      <c r="AB44" s="66" t="s">
        <v>15</v>
      </c>
      <c r="AC44" s="66" t="s">
        <v>15</v>
      </c>
      <c r="AD44" s="154">
        <v>45811</v>
      </c>
      <c r="AE44" s="154">
        <v>46889</v>
      </c>
      <c r="AF44" s="182">
        <f ca="1">AA44-TODAY()</f>
        <v>784</v>
      </c>
      <c r="AG44" s="183" t="s">
        <v>187</v>
      </c>
      <c r="AH44" s="184"/>
      <c r="AI44" s="216" t="s">
        <v>246</v>
      </c>
      <c r="AJ44" s="201"/>
    </row>
    <row r="45" spans="2:36" s="46" customFormat="1" ht="32.1" customHeight="1" outlineLevel="1" x14ac:dyDescent="0.3">
      <c r="B45" s="280"/>
      <c r="C45" s="143"/>
      <c r="D45" s="143"/>
      <c r="E45" s="143"/>
      <c r="F45" s="143"/>
      <c r="G45" s="175"/>
      <c r="H45" s="177"/>
      <c r="I45" s="178"/>
      <c r="J45" s="173"/>
      <c r="K45" s="164"/>
      <c r="L45" s="165"/>
      <c r="M45" s="22" t="s">
        <v>213</v>
      </c>
      <c r="N45" s="23">
        <v>46105</v>
      </c>
      <c r="O45" s="24" t="str">
        <f>IF(O44&gt;0,"초과","미달")</f>
        <v>미달</v>
      </c>
      <c r="P45" s="60">
        <f>$P44/$J44</f>
        <v>1</v>
      </c>
      <c r="Q45" s="61" t="s">
        <v>148</v>
      </c>
      <c r="R45" s="61" t="s">
        <v>148</v>
      </c>
      <c r="S45" s="167"/>
      <c r="T45" s="167"/>
      <c r="U45" s="25" t="s">
        <v>15</v>
      </c>
      <c r="V45" s="169"/>
      <c r="W45" s="75" t="s">
        <v>148</v>
      </c>
      <c r="X45" s="75" t="s">
        <v>148</v>
      </c>
      <c r="Y45" s="25" t="s">
        <v>148</v>
      </c>
      <c r="Z45" s="171"/>
      <c r="AA45" s="173"/>
      <c r="AB45" s="41" t="s">
        <v>15</v>
      </c>
      <c r="AC45" s="80" t="str">
        <f>IFERROR(AC44-AB44,"-")</f>
        <v>-</v>
      </c>
      <c r="AD45" s="174"/>
      <c r="AE45" s="173"/>
      <c r="AF45" s="130"/>
      <c r="AG45" s="133"/>
      <c r="AH45" s="134"/>
      <c r="AI45" s="188"/>
      <c r="AJ45" s="189"/>
    </row>
    <row r="46" spans="2:36" s="46" customFormat="1" ht="32.1" customHeight="1" outlineLevel="1" x14ac:dyDescent="0.3">
      <c r="B46" s="280"/>
      <c r="C46" s="143"/>
      <c r="D46" s="143"/>
      <c r="E46" s="143"/>
      <c r="F46" s="143"/>
      <c r="G46" s="175"/>
      <c r="H46" s="139" t="s">
        <v>24</v>
      </c>
      <c r="I46" s="141">
        <v>0.83</v>
      </c>
      <c r="J46" s="143">
        <v>65</v>
      </c>
      <c r="K46" s="143" t="s">
        <v>150</v>
      </c>
      <c r="L46" s="146">
        <v>0.75600000000000001</v>
      </c>
      <c r="M46" s="15">
        <v>0.79300000000000004</v>
      </c>
      <c r="N46" s="15">
        <f>IF((((($I46-$L46)/($AD46-$Z46))*($N47-$Z46))+$L46)&gt;0.85,$I46,((($I46-$L46)/($AD46-$Z46))*($N47-$Z46))+$L46)</f>
        <v>0.78075056689342404</v>
      </c>
      <c r="O46" s="15">
        <f>M46-N46</f>
        <v>1.2249433106576002E-2</v>
      </c>
      <c r="P46" s="30">
        <v>65</v>
      </c>
      <c r="Q46" s="28" t="s">
        <v>15</v>
      </c>
      <c r="R46" s="28" t="s">
        <v>15</v>
      </c>
      <c r="S46" s="202" t="s">
        <v>15</v>
      </c>
      <c r="T46" s="202" t="s">
        <v>15</v>
      </c>
      <c r="U46" s="31" t="s">
        <v>15</v>
      </c>
      <c r="V46" s="205" t="s">
        <v>15</v>
      </c>
      <c r="W46" s="192" t="s">
        <v>15</v>
      </c>
      <c r="X46" s="27" t="s">
        <v>15</v>
      </c>
      <c r="Y46" s="32" t="s">
        <v>15</v>
      </c>
      <c r="Z46" s="152">
        <v>45810</v>
      </c>
      <c r="AA46" s="154">
        <v>46889</v>
      </c>
      <c r="AB46" s="66" t="s">
        <v>15</v>
      </c>
      <c r="AC46" s="66" t="s">
        <v>15</v>
      </c>
      <c r="AD46" s="154">
        <v>46692</v>
      </c>
      <c r="AE46" s="154">
        <v>46873</v>
      </c>
      <c r="AF46" s="182">
        <f ca="1">AA46-TODAY()</f>
        <v>784</v>
      </c>
      <c r="AG46" s="217" t="s">
        <v>192</v>
      </c>
      <c r="AH46" s="132"/>
      <c r="AI46" s="218" t="s">
        <v>188</v>
      </c>
      <c r="AJ46" s="161"/>
    </row>
    <row r="47" spans="2:36" s="46" customFormat="1" ht="32.1" customHeight="1" outlineLevel="1" x14ac:dyDescent="0.3">
      <c r="B47" s="281"/>
      <c r="C47" s="173"/>
      <c r="D47" s="173"/>
      <c r="E47" s="173"/>
      <c r="F47" s="173"/>
      <c r="G47" s="194"/>
      <c r="H47" s="177"/>
      <c r="I47" s="178"/>
      <c r="J47" s="173"/>
      <c r="K47" s="173"/>
      <c r="L47" s="165"/>
      <c r="M47" s="22" t="s">
        <v>213</v>
      </c>
      <c r="N47" s="23">
        <v>46105</v>
      </c>
      <c r="O47" s="24" t="str">
        <f>IF(O46&gt;0,"초과","미달")</f>
        <v>초과</v>
      </c>
      <c r="P47" s="60">
        <f>$P46/$J46</f>
        <v>1</v>
      </c>
      <c r="Q47" s="61" t="s">
        <v>148</v>
      </c>
      <c r="R47" s="61" t="s">
        <v>148</v>
      </c>
      <c r="S47" s="203"/>
      <c r="T47" s="203"/>
      <c r="U47" s="40" t="s">
        <v>15</v>
      </c>
      <c r="V47" s="171"/>
      <c r="W47" s="173"/>
      <c r="X47" s="41" t="s">
        <v>15</v>
      </c>
      <c r="Y47" s="40" t="s">
        <v>15</v>
      </c>
      <c r="Z47" s="171"/>
      <c r="AA47" s="173"/>
      <c r="AB47" s="41" t="s">
        <v>15</v>
      </c>
      <c r="AC47" s="80" t="str">
        <f>IFERROR(AC46-AB46,"-")</f>
        <v>-</v>
      </c>
      <c r="AD47" s="174"/>
      <c r="AE47" s="173"/>
      <c r="AF47" s="130"/>
      <c r="AG47" s="133"/>
      <c r="AH47" s="134"/>
      <c r="AI47" s="188"/>
      <c r="AJ47" s="189"/>
    </row>
    <row r="48" spans="2:36" s="46" customFormat="1" ht="32.1" customHeight="1" outlineLevel="1" x14ac:dyDescent="0.3">
      <c r="B48" s="279">
        <v>8</v>
      </c>
      <c r="C48" s="192" t="s">
        <v>140</v>
      </c>
      <c r="D48" s="192" t="s">
        <v>68</v>
      </c>
      <c r="E48" s="190" t="s">
        <v>153</v>
      </c>
      <c r="F48" s="192" t="s">
        <v>36</v>
      </c>
      <c r="G48" s="193" t="s">
        <v>154</v>
      </c>
      <c r="H48" s="195" t="s">
        <v>23</v>
      </c>
      <c r="I48" s="196">
        <v>0.85</v>
      </c>
      <c r="J48" s="192">
        <v>8</v>
      </c>
      <c r="K48" s="190" t="s">
        <v>155</v>
      </c>
      <c r="L48" s="191">
        <v>0.85</v>
      </c>
      <c r="M48" s="15">
        <v>0.91300000000000003</v>
      </c>
      <c r="N48" s="15">
        <f>IF((((($I48-$L48)/($AD48-$Z48))*($N49-$Z48))+$L48)&gt;0.85,$I48,((($I48-$L48)/($AD48-$Z48))*($N49-$Z48))+$L48)</f>
        <v>0.85</v>
      </c>
      <c r="O48" s="15">
        <f>M48-N48</f>
        <v>6.3000000000000056E-2</v>
      </c>
      <c r="P48" s="16">
        <v>8</v>
      </c>
      <c r="Q48" s="17" t="s">
        <v>148</v>
      </c>
      <c r="R48" s="17" t="s">
        <v>148</v>
      </c>
      <c r="S48" s="148" t="s">
        <v>15</v>
      </c>
      <c r="T48" s="148" t="s">
        <v>15</v>
      </c>
      <c r="U48" s="19" t="s">
        <v>15</v>
      </c>
      <c r="V48" s="150" t="s">
        <v>148</v>
      </c>
      <c r="W48" s="86" t="s">
        <v>148</v>
      </c>
      <c r="X48" s="87" t="s">
        <v>148</v>
      </c>
      <c r="Y48" s="88" t="s">
        <v>148</v>
      </c>
      <c r="Z48" s="152">
        <v>45454</v>
      </c>
      <c r="AA48" s="154">
        <v>46173</v>
      </c>
      <c r="AB48" s="66" t="s">
        <v>15</v>
      </c>
      <c r="AC48" s="66" t="s">
        <v>15</v>
      </c>
      <c r="AD48" s="154">
        <v>45455</v>
      </c>
      <c r="AE48" s="154">
        <v>46173</v>
      </c>
      <c r="AF48" s="182">
        <f ca="1">AA48-TODAY()</f>
        <v>68</v>
      </c>
      <c r="AG48" s="183"/>
      <c r="AH48" s="184"/>
      <c r="AI48" s="185"/>
      <c r="AJ48" s="186"/>
    </row>
    <row r="49" spans="2:36" s="46" customFormat="1" ht="32.1" customHeight="1" outlineLevel="1" x14ac:dyDescent="0.3">
      <c r="B49" s="280"/>
      <c r="C49" s="143"/>
      <c r="D49" s="143"/>
      <c r="E49" s="143"/>
      <c r="F49" s="143"/>
      <c r="G49" s="175"/>
      <c r="H49" s="177"/>
      <c r="I49" s="178"/>
      <c r="J49" s="173"/>
      <c r="K49" s="164"/>
      <c r="L49" s="165"/>
      <c r="M49" s="22" t="s">
        <v>213</v>
      </c>
      <c r="N49" s="23">
        <v>46105</v>
      </c>
      <c r="O49" s="24" t="str">
        <f>IF(O48&gt;0,"초과","미달")</f>
        <v>초과</v>
      </c>
      <c r="P49" s="60">
        <f>$P48/$J48</f>
        <v>1</v>
      </c>
      <c r="Q49" s="61" t="s">
        <v>148</v>
      </c>
      <c r="R49" s="61" t="s">
        <v>148</v>
      </c>
      <c r="S49" s="167"/>
      <c r="T49" s="167"/>
      <c r="U49" s="25" t="s">
        <v>15</v>
      </c>
      <c r="V49" s="169"/>
      <c r="W49" s="75" t="s">
        <v>148</v>
      </c>
      <c r="X49" s="75" t="s">
        <v>148</v>
      </c>
      <c r="Y49" s="25" t="s">
        <v>148</v>
      </c>
      <c r="Z49" s="171"/>
      <c r="AA49" s="173"/>
      <c r="AB49" s="41" t="s">
        <v>15</v>
      </c>
      <c r="AC49" s="80" t="str">
        <f>IFERROR(AC48-AB48,"-")</f>
        <v>-</v>
      </c>
      <c r="AD49" s="174"/>
      <c r="AE49" s="173"/>
      <c r="AF49" s="130"/>
      <c r="AG49" s="133"/>
      <c r="AH49" s="134"/>
      <c r="AI49" s="137"/>
      <c r="AJ49" s="138"/>
    </row>
    <row r="50" spans="2:36" s="46" customFormat="1" ht="32.1" customHeight="1" outlineLevel="1" x14ac:dyDescent="0.3">
      <c r="B50" s="280"/>
      <c r="C50" s="143"/>
      <c r="D50" s="143"/>
      <c r="E50" s="143"/>
      <c r="F50" s="143"/>
      <c r="G50" s="175"/>
      <c r="H50" s="139" t="s">
        <v>24</v>
      </c>
      <c r="I50" s="141" t="s">
        <v>148</v>
      </c>
      <c r="J50" s="143" t="s">
        <v>148</v>
      </c>
      <c r="K50" s="143" t="s">
        <v>15</v>
      </c>
      <c r="L50" s="146" t="s">
        <v>148</v>
      </c>
      <c r="M50" s="15" t="s">
        <v>148</v>
      </c>
      <c r="N50" s="15" t="s">
        <v>148</v>
      </c>
      <c r="O50" s="15" t="s">
        <v>148</v>
      </c>
      <c r="P50" s="30" t="s">
        <v>148</v>
      </c>
      <c r="Q50" s="28" t="s">
        <v>15</v>
      </c>
      <c r="R50" s="28" t="s">
        <v>15</v>
      </c>
      <c r="S50" s="202" t="s">
        <v>15</v>
      </c>
      <c r="T50" s="202" t="s">
        <v>15</v>
      </c>
      <c r="U50" s="31" t="s">
        <v>15</v>
      </c>
      <c r="V50" s="205" t="s">
        <v>15</v>
      </c>
      <c r="W50" s="192" t="s">
        <v>15</v>
      </c>
      <c r="X50" s="27" t="s">
        <v>15</v>
      </c>
      <c r="Y50" s="32" t="s">
        <v>15</v>
      </c>
      <c r="Z50" s="152" t="s">
        <v>148</v>
      </c>
      <c r="AA50" s="154" t="s">
        <v>148</v>
      </c>
      <c r="AB50" s="66" t="s">
        <v>15</v>
      </c>
      <c r="AC50" s="66" t="s">
        <v>15</v>
      </c>
      <c r="AD50" s="154" t="s">
        <v>148</v>
      </c>
      <c r="AE50" s="154" t="s">
        <v>148</v>
      </c>
      <c r="AF50" s="182" t="s">
        <v>148</v>
      </c>
      <c r="AG50" s="213"/>
      <c r="AH50" s="214"/>
      <c r="AI50" s="135"/>
      <c r="AJ50" s="136"/>
    </row>
    <row r="51" spans="2:36" s="46" customFormat="1" ht="32.1" customHeight="1" outlineLevel="1" x14ac:dyDescent="0.3">
      <c r="B51" s="281"/>
      <c r="C51" s="173"/>
      <c r="D51" s="173"/>
      <c r="E51" s="173"/>
      <c r="F51" s="173"/>
      <c r="G51" s="194"/>
      <c r="H51" s="177"/>
      <c r="I51" s="178"/>
      <c r="J51" s="173"/>
      <c r="K51" s="173"/>
      <c r="L51" s="165"/>
      <c r="M51" s="22" t="s">
        <v>15</v>
      </c>
      <c r="N51" s="23" t="s">
        <v>148</v>
      </c>
      <c r="O51" s="24" t="s">
        <v>148</v>
      </c>
      <c r="P51" s="60" t="s">
        <v>148</v>
      </c>
      <c r="Q51" s="61" t="s">
        <v>148</v>
      </c>
      <c r="R51" s="61" t="s">
        <v>148</v>
      </c>
      <c r="S51" s="203"/>
      <c r="T51" s="203"/>
      <c r="U51" s="40" t="s">
        <v>15</v>
      </c>
      <c r="V51" s="171"/>
      <c r="W51" s="173"/>
      <c r="X51" s="41" t="s">
        <v>15</v>
      </c>
      <c r="Y51" s="40" t="s">
        <v>15</v>
      </c>
      <c r="Z51" s="171"/>
      <c r="AA51" s="173"/>
      <c r="AB51" s="41" t="s">
        <v>15</v>
      </c>
      <c r="AC51" s="80" t="str">
        <f>IFERROR(AC50-AB50,"-")</f>
        <v>-</v>
      </c>
      <c r="AD51" s="174"/>
      <c r="AE51" s="173"/>
      <c r="AF51" s="130"/>
      <c r="AG51" s="215"/>
      <c r="AH51" s="187"/>
      <c r="AI51" s="137"/>
      <c r="AJ51" s="138"/>
    </row>
    <row r="52" spans="2:36" s="46" customFormat="1" ht="32.1" customHeight="1" outlineLevel="1" x14ac:dyDescent="0.3">
      <c r="B52" s="279">
        <v>9</v>
      </c>
      <c r="C52" s="192" t="s">
        <v>48</v>
      </c>
      <c r="D52" s="192" t="s">
        <v>193</v>
      </c>
      <c r="E52" s="192" t="s">
        <v>151</v>
      </c>
      <c r="F52" s="192" t="s">
        <v>36</v>
      </c>
      <c r="G52" s="193" t="s">
        <v>194</v>
      </c>
      <c r="H52" s="195" t="s">
        <v>37</v>
      </c>
      <c r="I52" s="196">
        <v>0.9</v>
      </c>
      <c r="J52" s="192">
        <v>4</v>
      </c>
      <c r="K52" s="190" t="s">
        <v>195</v>
      </c>
      <c r="L52" s="191">
        <v>0.89700000000000002</v>
      </c>
      <c r="M52" s="15">
        <v>0.90300000000000002</v>
      </c>
      <c r="N52" s="117">
        <f>IF((((($I52-$L52)/($AD52-$Z52))*($N53-$Z52))+$L52)&gt;0.85,$I52,((($I52-$L52)/($AD52-$Z52))*($N53-$Z52))+$L52)</f>
        <v>0.9</v>
      </c>
      <c r="O52" s="15">
        <f>M52-N52</f>
        <v>3.0000000000000027E-3</v>
      </c>
      <c r="P52" s="16">
        <v>4</v>
      </c>
      <c r="Q52" s="17" t="s">
        <v>15</v>
      </c>
      <c r="R52" s="18" t="s">
        <v>15</v>
      </c>
      <c r="S52" s="148">
        <v>51.5</v>
      </c>
      <c r="T52" s="148" t="s">
        <v>15</v>
      </c>
      <c r="U52" s="19">
        <v>58</v>
      </c>
      <c r="V52" s="205" t="s">
        <v>15</v>
      </c>
      <c r="W52" s="192" t="s">
        <v>15</v>
      </c>
      <c r="X52" s="20" t="s">
        <v>15</v>
      </c>
      <c r="Y52" s="21" t="s">
        <v>15</v>
      </c>
      <c r="Z52" s="152">
        <v>45999</v>
      </c>
      <c r="AA52" s="154">
        <v>47094</v>
      </c>
      <c r="AB52" s="116" t="s">
        <v>15</v>
      </c>
      <c r="AC52" s="116" t="s">
        <v>15</v>
      </c>
      <c r="AD52" s="154">
        <v>46730</v>
      </c>
      <c r="AE52" s="154">
        <v>47094</v>
      </c>
      <c r="AF52" s="182">
        <f ca="1">AA52-TODAY()</f>
        <v>989</v>
      </c>
      <c r="AG52" s="183" t="s">
        <v>196</v>
      </c>
      <c r="AH52" s="184"/>
      <c r="AI52" s="216" t="s">
        <v>197</v>
      </c>
      <c r="AJ52" s="201"/>
    </row>
    <row r="53" spans="2:36" s="46" customFormat="1" ht="32.1" customHeight="1" outlineLevel="1" x14ac:dyDescent="0.3">
      <c r="B53" s="281"/>
      <c r="C53" s="173"/>
      <c r="D53" s="173"/>
      <c r="E53" s="173"/>
      <c r="F53" s="173"/>
      <c r="G53" s="194"/>
      <c r="H53" s="177"/>
      <c r="I53" s="178"/>
      <c r="J53" s="173"/>
      <c r="K53" s="164"/>
      <c r="L53" s="165"/>
      <c r="M53" s="22" t="s">
        <v>189</v>
      </c>
      <c r="N53" s="23">
        <v>46105</v>
      </c>
      <c r="O53" s="24" t="str">
        <f>IF(O52&gt;0,"초과","미달")</f>
        <v>초과</v>
      </c>
      <c r="P53" s="60">
        <f>$P52/$J52</f>
        <v>1</v>
      </c>
      <c r="Q53" s="64" t="s">
        <v>15</v>
      </c>
      <c r="R53" s="64" t="s">
        <v>15</v>
      </c>
      <c r="S53" s="167"/>
      <c r="T53" s="167"/>
      <c r="U53" s="25"/>
      <c r="V53" s="171"/>
      <c r="W53" s="173"/>
      <c r="X53" s="26" t="s">
        <v>15</v>
      </c>
      <c r="Y53" s="25" t="s">
        <v>15</v>
      </c>
      <c r="Z53" s="171"/>
      <c r="AA53" s="173"/>
      <c r="AB53" s="124" t="s">
        <v>15</v>
      </c>
      <c r="AC53" s="125" t="str">
        <f>IFERROR(AC52-AB52,"-")</f>
        <v>-</v>
      </c>
      <c r="AD53" s="221"/>
      <c r="AE53" s="173"/>
      <c r="AF53" s="130"/>
      <c r="AG53" s="133"/>
      <c r="AH53" s="134"/>
      <c r="AI53" s="188"/>
      <c r="AJ53" s="189"/>
    </row>
    <row r="54" spans="2:36" s="46" customFormat="1" ht="81.75" customHeight="1" outlineLevel="1" x14ac:dyDescent="0.3">
      <c r="B54" s="280">
        <v>10</v>
      </c>
      <c r="C54" s="143" t="s">
        <v>73</v>
      </c>
      <c r="D54" s="143" t="s">
        <v>208</v>
      </c>
      <c r="E54" s="143" t="s">
        <v>209</v>
      </c>
      <c r="F54" s="143" t="s">
        <v>36</v>
      </c>
      <c r="G54" s="175" t="s">
        <v>210</v>
      </c>
      <c r="H54" s="139" t="s">
        <v>23</v>
      </c>
      <c r="I54" s="141">
        <v>0.85</v>
      </c>
      <c r="J54" s="143">
        <v>9</v>
      </c>
      <c r="K54" s="145" t="s">
        <v>211</v>
      </c>
      <c r="L54" s="146">
        <v>0.79400000000000004</v>
      </c>
      <c r="M54" s="58">
        <v>0.72599999999999998</v>
      </c>
      <c r="N54" s="119">
        <f>IF((((($I54-$L54)/($AD54-$Z54))*($N55-$Z54))+$L54)&gt;0.85,$I54,((($I54-$L54)/($AD54-$Z54))*($N55-$Z54))+$L54)</f>
        <v>0.80244993141289445</v>
      </c>
      <c r="O54" s="58">
        <f>M54-N54</f>
        <v>-7.6449931412894467E-2</v>
      </c>
      <c r="P54" s="30" t="s">
        <v>204</v>
      </c>
      <c r="Q54" s="59" t="s">
        <v>15</v>
      </c>
      <c r="R54" s="73" t="s">
        <v>15</v>
      </c>
      <c r="S54" s="166">
        <v>82</v>
      </c>
      <c r="T54" s="166">
        <v>59</v>
      </c>
      <c r="U54" s="31">
        <v>92</v>
      </c>
      <c r="V54" s="150">
        <v>97</v>
      </c>
      <c r="W54" s="86">
        <v>0</v>
      </c>
      <c r="X54" s="87">
        <f>($V54/($AA54-$Z54))*($N55-$Z54)</f>
        <v>9.7531992687385749</v>
      </c>
      <c r="Y54" s="88">
        <f>IF((W54-X54)&lt;0,(X54-W54),(W54-X54))</f>
        <v>9.7531992687385749</v>
      </c>
      <c r="Z54" s="170">
        <v>45995</v>
      </c>
      <c r="AA54" s="172">
        <v>47089</v>
      </c>
      <c r="AB54" s="118" t="s">
        <v>15</v>
      </c>
      <c r="AC54" s="118" t="s">
        <v>15</v>
      </c>
      <c r="AD54" s="172">
        <v>46724</v>
      </c>
      <c r="AE54" s="172">
        <v>47091</v>
      </c>
      <c r="AF54" s="129">
        <f ca="1">AA54-TODAY()</f>
        <v>984</v>
      </c>
      <c r="AG54" s="131" t="s">
        <v>212</v>
      </c>
      <c r="AH54" s="132"/>
      <c r="AI54" s="160"/>
      <c r="AJ54" s="161"/>
    </row>
    <row r="55" spans="2:36" s="46" customFormat="1" ht="32.1" customHeight="1" outlineLevel="1" thickBot="1" x14ac:dyDescent="0.35">
      <c r="B55" s="282"/>
      <c r="C55" s="144"/>
      <c r="D55" s="144"/>
      <c r="E55" s="144"/>
      <c r="F55" s="144"/>
      <c r="G55" s="176"/>
      <c r="H55" s="140"/>
      <c r="I55" s="142"/>
      <c r="J55" s="144"/>
      <c r="K55" s="179"/>
      <c r="L55" s="147"/>
      <c r="M55" s="97" t="s">
        <v>189</v>
      </c>
      <c r="N55" s="126">
        <v>46105</v>
      </c>
      <c r="O55" s="98" t="str">
        <f>IF(O54&gt;0,"초과","미달")</f>
        <v>미달</v>
      </c>
      <c r="P55" s="93" t="s">
        <v>204</v>
      </c>
      <c r="Q55" s="120" t="s">
        <v>15</v>
      </c>
      <c r="R55" s="120" t="s">
        <v>15</v>
      </c>
      <c r="S55" s="149"/>
      <c r="T55" s="149"/>
      <c r="U55" s="36" t="str">
        <f>IF((T54-U54)&lt;0,(U54-T54)&amp;"㎥"&amp;" "&amp;"미달",(T54-U54)&amp;"㎥"&amp;" "&amp;"초과")</f>
        <v>33㎥ 미달</v>
      </c>
      <c r="V55" s="151"/>
      <c r="W55" s="95">
        <f>$W54/$V54</f>
        <v>0</v>
      </c>
      <c r="X55" s="95">
        <f>X54/V54</f>
        <v>0.10054844606946985</v>
      </c>
      <c r="Y55" s="96" t="str">
        <f>IF((W54-X54)&lt;0,"미달","초과")</f>
        <v>미달</v>
      </c>
      <c r="Z55" s="153"/>
      <c r="AA55" s="144"/>
      <c r="AB55" s="122" t="s">
        <v>15</v>
      </c>
      <c r="AC55" s="123" t="str">
        <f>IFERROR(AC54-AB54,"-")</f>
        <v>-</v>
      </c>
      <c r="AD55" s="180"/>
      <c r="AE55" s="144"/>
      <c r="AF55" s="157"/>
      <c r="AG55" s="158"/>
      <c r="AH55" s="159"/>
      <c r="AI55" s="162"/>
      <c r="AJ55" s="163"/>
    </row>
    <row r="56" spans="2:36" s="45" customFormat="1" ht="37.5" customHeight="1" thickBot="1" x14ac:dyDescent="0.35">
      <c r="B56" s="255" t="s">
        <v>91</v>
      </c>
      <c r="C56" s="222"/>
      <c r="D56" s="222"/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2"/>
      <c r="P56" s="222"/>
      <c r="Q56" s="222"/>
      <c r="R56" s="222"/>
      <c r="S56" s="222"/>
      <c r="T56" s="222"/>
      <c r="U56" s="222"/>
      <c r="V56" s="222"/>
      <c r="W56" s="222"/>
      <c r="X56" s="222"/>
      <c r="Y56" s="222"/>
      <c r="Z56" s="222"/>
      <c r="AA56" s="222"/>
      <c r="AB56" s="222"/>
      <c r="AC56" s="222"/>
      <c r="AD56" s="222"/>
      <c r="AE56" s="222"/>
      <c r="AF56" s="222"/>
      <c r="AG56" s="222"/>
      <c r="AH56" s="222"/>
      <c r="AI56" s="222"/>
      <c r="AJ56" s="256"/>
    </row>
    <row r="57" spans="2:36" s="46" customFormat="1" ht="107.25" customHeight="1" outlineLevel="1" x14ac:dyDescent="0.3">
      <c r="B57" s="280">
        <v>1</v>
      </c>
      <c r="C57" s="143" t="s">
        <v>233</v>
      </c>
      <c r="D57" s="143" t="s">
        <v>39</v>
      </c>
      <c r="E57" s="143" t="s">
        <v>40</v>
      </c>
      <c r="F57" s="143" t="s">
        <v>41</v>
      </c>
      <c r="G57" s="175" t="s">
        <v>42</v>
      </c>
      <c r="H57" s="139" t="s">
        <v>23</v>
      </c>
      <c r="I57" s="141" t="s">
        <v>47</v>
      </c>
      <c r="J57" s="143">
        <v>52</v>
      </c>
      <c r="K57" s="145" t="s">
        <v>46</v>
      </c>
      <c r="L57" s="146" t="s">
        <v>15</v>
      </c>
      <c r="M57" s="58" t="s">
        <v>15</v>
      </c>
      <c r="N57" s="58" t="s">
        <v>15</v>
      </c>
      <c r="O57" s="58" t="s">
        <v>15</v>
      </c>
      <c r="P57" s="30">
        <v>46</v>
      </c>
      <c r="Q57" s="59">
        <v>1</v>
      </c>
      <c r="R57" s="59">
        <v>16</v>
      </c>
      <c r="S57" s="166">
        <v>2025</v>
      </c>
      <c r="T57" s="166">
        <v>1726</v>
      </c>
      <c r="U57" s="31">
        <v>2000</v>
      </c>
      <c r="V57" s="181" t="s">
        <v>15</v>
      </c>
      <c r="W57" s="143" t="s">
        <v>15</v>
      </c>
      <c r="X57" s="27" t="s">
        <v>15</v>
      </c>
      <c r="Y57" s="32" t="s">
        <v>15</v>
      </c>
      <c r="Z57" s="170">
        <v>45813</v>
      </c>
      <c r="AA57" s="172">
        <v>46907</v>
      </c>
      <c r="AB57" s="68" t="s">
        <v>103</v>
      </c>
      <c r="AC57" s="68" t="s">
        <v>103</v>
      </c>
      <c r="AD57" s="172">
        <v>46542</v>
      </c>
      <c r="AE57" s="172">
        <v>46907</v>
      </c>
      <c r="AF57" s="129">
        <f ca="1">AA57-TODAY()</f>
        <v>802</v>
      </c>
      <c r="AG57" s="131" t="s">
        <v>250</v>
      </c>
      <c r="AH57" s="132"/>
      <c r="AI57" s="257" t="s">
        <v>222</v>
      </c>
      <c r="AJ57" s="258"/>
    </row>
    <row r="58" spans="2:36" s="46" customFormat="1" ht="32.1" customHeight="1" outlineLevel="1" x14ac:dyDescent="0.3">
      <c r="B58" s="281"/>
      <c r="C58" s="173"/>
      <c r="D58" s="173"/>
      <c r="E58" s="173"/>
      <c r="F58" s="173"/>
      <c r="G58" s="194"/>
      <c r="H58" s="177"/>
      <c r="I58" s="178"/>
      <c r="J58" s="173"/>
      <c r="K58" s="164"/>
      <c r="L58" s="165"/>
      <c r="M58" s="22" t="s">
        <v>15</v>
      </c>
      <c r="N58" s="23" t="s">
        <v>98</v>
      </c>
      <c r="O58" s="24" t="s">
        <v>167</v>
      </c>
      <c r="P58" s="60">
        <f>$P57/$J57</f>
        <v>0.88461538461538458</v>
      </c>
      <c r="Q58" s="61">
        <f>$Q57/$J57</f>
        <v>1.9230769230769232E-2</v>
      </c>
      <c r="R58" s="61">
        <f>$R57/$J57</f>
        <v>0.30769230769230771</v>
      </c>
      <c r="S58" s="167"/>
      <c r="T58" s="167"/>
      <c r="U58" s="25" t="str">
        <f>IF((T57-U57)&lt;0,(U57-T57)&amp;"㎥"&amp;" "&amp;"미달",(T57-U57)&amp;"㎥"&amp;" "&amp;"초과")</f>
        <v>274㎥ 미달</v>
      </c>
      <c r="V58" s="171"/>
      <c r="W58" s="173"/>
      <c r="X58" s="26" t="s">
        <v>15</v>
      </c>
      <c r="Y58" s="25" t="s">
        <v>15</v>
      </c>
      <c r="Z58" s="171"/>
      <c r="AA58" s="173"/>
      <c r="AB58" s="69" t="s">
        <v>15</v>
      </c>
      <c r="AC58" s="70" t="str">
        <f>IFERROR(AC57-AB57,"-")</f>
        <v>-</v>
      </c>
      <c r="AD58" s="221"/>
      <c r="AE58" s="173"/>
      <c r="AF58" s="130"/>
      <c r="AG58" s="133"/>
      <c r="AH58" s="134"/>
      <c r="AI58" s="188"/>
      <c r="AJ58" s="189"/>
    </row>
    <row r="59" spans="2:36" s="46" customFormat="1" ht="87" customHeight="1" outlineLevel="1" x14ac:dyDescent="0.3">
      <c r="B59" s="280">
        <v>2</v>
      </c>
      <c r="C59" s="143" t="s">
        <v>233</v>
      </c>
      <c r="D59" s="143" t="s">
        <v>43</v>
      </c>
      <c r="E59" s="143" t="s">
        <v>40</v>
      </c>
      <c r="F59" s="143" t="s">
        <v>41</v>
      </c>
      <c r="G59" s="175" t="s">
        <v>44</v>
      </c>
      <c r="H59" s="195" t="s">
        <v>23</v>
      </c>
      <c r="I59" s="196" t="s">
        <v>47</v>
      </c>
      <c r="J59" s="192">
        <v>43</v>
      </c>
      <c r="K59" s="190" t="s">
        <v>46</v>
      </c>
      <c r="L59" s="191" t="s">
        <v>15</v>
      </c>
      <c r="M59" s="15" t="s">
        <v>15</v>
      </c>
      <c r="N59" s="15" t="s">
        <v>15</v>
      </c>
      <c r="O59" s="15" t="s">
        <v>15</v>
      </c>
      <c r="P59" s="16">
        <v>37</v>
      </c>
      <c r="Q59" s="17">
        <v>1</v>
      </c>
      <c r="R59" s="17">
        <v>17</v>
      </c>
      <c r="S59" s="148">
        <v>576</v>
      </c>
      <c r="T59" s="148">
        <v>533</v>
      </c>
      <c r="U59" s="19">
        <v>712</v>
      </c>
      <c r="V59" s="205" t="s">
        <v>15</v>
      </c>
      <c r="W59" s="192" t="s">
        <v>15</v>
      </c>
      <c r="X59" s="20" t="s">
        <v>15</v>
      </c>
      <c r="Y59" s="21" t="s">
        <v>15</v>
      </c>
      <c r="Z59" s="152">
        <v>45813</v>
      </c>
      <c r="AA59" s="154">
        <v>46907</v>
      </c>
      <c r="AB59" s="68" t="s">
        <v>103</v>
      </c>
      <c r="AC59" s="68" t="s">
        <v>103</v>
      </c>
      <c r="AD59" s="154">
        <v>46542</v>
      </c>
      <c r="AE59" s="154">
        <v>46907</v>
      </c>
      <c r="AF59" s="182">
        <f ca="1">AA59-TODAY()</f>
        <v>802</v>
      </c>
      <c r="AG59" s="183" t="s">
        <v>249</v>
      </c>
      <c r="AH59" s="184"/>
      <c r="AI59" s="216" t="s">
        <v>223</v>
      </c>
      <c r="AJ59" s="201"/>
    </row>
    <row r="60" spans="2:36" s="46" customFormat="1" ht="32.1" customHeight="1" outlineLevel="1" x14ac:dyDescent="0.3">
      <c r="B60" s="281"/>
      <c r="C60" s="173"/>
      <c r="D60" s="173"/>
      <c r="E60" s="173"/>
      <c r="F60" s="173"/>
      <c r="G60" s="194"/>
      <c r="H60" s="177"/>
      <c r="I60" s="178"/>
      <c r="J60" s="173"/>
      <c r="K60" s="164"/>
      <c r="L60" s="165"/>
      <c r="M60" s="22" t="s">
        <v>15</v>
      </c>
      <c r="N60" s="23" t="s">
        <v>98</v>
      </c>
      <c r="O60" s="24" t="s">
        <v>167</v>
      </c>
      <c r="P60" s="60">
        <f>$P59/$J59</f>
        <v>0.86046511627906974</v>
      </c>
      <c r="Q60" s="61">
        <f>$Q59/$J59</f>
        <v>2.3255813953488372E-2</v>
      </c>
      <c r="R60" s="61">
        <f>IF(R59="-","-",R59/$J59)</f>
        <v>0.39534883720930231</v>
      </c>
      <c r="S60" s="167"/>
      <c r="T60" s="167"/>
      <c r="U60" s="40" t="str">
        <f>IF((T59-U59)&lt;0,(U59-T59)&amp;"㎥"&amp;" "&amp;"미달",(T59-U59)&amp;"㎥"&amp;" "&amp;"초과")</f>
        <v>179㎥ 미달</v>
      </c>
      <c r="V60" s="171"/>
      <c r="W60" s="173"/>
      <c r="X60" s="26" t="s">
        <v>15</v>
      </c>
      <c r="Y60" s="25" t="s">
        <v>15</v>
      </c>
      <c r="Z60" s="171"/>
      <c r="AA60" s="173"/>
      <c r="AB60" s="69" t="s">
        <v>15</v>
      </c>
      <c r="AC60" s="70" t="str">
        <f>IFERROR(AC59-AB59,"-")</f>
        <v>-</v>
      </c>
      <c r="AD60" s="221"/>
      <c r="AE60" s="173"/>
      <c r="AF60" s="130"/>
      <c r="AG60" s="133"/>
      <c r="AH60" s="134"/>
      <c r="AI60" s="188"/>
      <c r="AJ60" s="189"/>
    </row>
    <row r="61" spans="2:36" s="46" customFormat="1" ht="124.5" customHeight="1" outlineLevel="1" x14ac:dyDescent="0.3">
      <c r="B61" s="279">
        <v>3</v>
      </c>
      <c r="C61" s="192" t="s">
        <v>48</v>
      </c>
      <c r="D61" s="192" t="s">
        <v>71</v>
      </c>
      <c r="E61" s="192" t="s">
        <v>113</v>
      </c>
      <c r="F61" s="192" t="s">
        <v>41</v>
      </c>
      <c r="G61" s="193" t="s">
        <v>105</v>
      </c>
      <c r="H61" s="195" t="s">
        <v>23</v>
      </c>
      <c r="I61" s="196">
        <v>0.85</v>
      </c>
      <c r="J61" s="192">
        <v>10</v>
      </c>
      <c r="K61" s="190" t="s">
        <v>190</v>
      </c>
      <c r="L61" s="191">
        <v>0.88300000000000001</v>
      </c>
      <c r="M61" s="15">
        <v>0.86799999999999999</v>
      </c>
      <c r="N61" s="15">
        <f>IF((((($I61-$L61)/($AD61-$Z61))*($N62-$Z61))+$L61)&gt;0.85,$I61,((($I61-$L61)/($AD61-$Z61))*($N62-$Z61))+$L61)</f>
        <v>0.84522171945701352</v>
      </c>
      <c r="O61" s="15">
        <f>M61-N61</f>
        <v>2.2778280542986473E-2</v>
      </c>
      <c r="P61" s="16">
        <v>10</v>
      </c>
      <c r="Q61" s="17">
        <v>0</v>
      </c>
      <c r="R61" s="17">
        <v>7</v>
      </c>
      <c r="S61" s="148" t="s">
        <v>15</v>
      </c>
      <c r="T61" s="148">
        <v>206</v>
      </c>
      <c r="U61" s="19">
        <v>185</v>
      </c>
      <c r="V61" s="150">
        <v>81</v>
      </c>
      <c r="W61" s="86">
        <v>60</v>
      </c>
      <c r="X61" s="87">
        <f>($V61/($AA61-$Z61))*($N62-$Z61)</f>
        <v>74.928702010968934</v>
      </c>
      <c r="Y61" s="88">
        <f>IF((W61-X61)&lt;0,(X61-W61),(W61-X61))</f>
        <v>14.928702010968934</v>
      </c>
      <c r="Z61" s="152">
        <v>45093</v>
      </c>
      <c r="AA61" s="154">
        <v>46187</v>
      </c>
      <c r="AB61" s="66" t="s">
        <v>104</v>
      </c>
      <c r="AC61" s="66" t="s">
        <v>104</v>
      </c>
      <c r="AD61" s="154">
        <v>45977</v>
      </c>
      <c r="AE61" s="154">
        <v>46157</v>
      </c>
      <c r="AF61" s="182">
        <f ca="1">AA61-TODAY()</f>
        <v>82</v>
      </c>
      <c r="AG61" s="131" t="s">
        <v>242</v>
      </c>
      <c r="AH61" s="132"/>
      <c r="AI61" s="160"/>
      <c r="AJ61" s="161"/>
    </row>
    <row r="62" spans="2:36" s="46" customFormat="1" ht="80.099999999999994" customHeight="1" outlineLevel="1" x14ac:dyDescent="0.3">
      <c r="B62" s="280"/>
      <c r="C62" s="143"/>
      <c r="D62" s="143"/>
      <c r="E62" s="143"/>
      <c r="F62" s="143"/>
      <c r="G62" s="175"/>
      <c r="H62" s="177"/>
      <c r="I62" s="178"/>
      <c r="J62" s="173"/>
      <c r="K62" s="164"/>
      <c r="L62" s="165"/>
      <c r="M62" s="22" t="s">
        <v>189</v>
      </c>
      <c r="N62" s="23">
        <v>46105</v>
      </c>
      <c r="O62" s="24" t="str">
        <f>IF(O61&gt;0,"초과","미달")</f>
        <v>초과</v>
      </c>
      <c r="P62" s="60">
        <f>$P61/$J61</f>
        <v>1</v>
      </c>
      <c r="Q62" s="61">
        <f>$Q61/$J61</f>
        <v>0</v>
      </c>
      <c r="R62" s="61">
        <f>IF(R61="-","-",R61/$J61)</f>
        <v>0.7</v>
      </c>
      <c r="S62" s="167"/>
      <c r="T62" s="167"/>
      <c r="U62" s="40" t="str">
        <f>IF((T61-U61)&lt;0,(U61-T61)&amp;"㎥"&amp;" "&amp;"미달",(T61-U61)&amp;"㎥"&amp;" "&amp;"초과")</f>
        <v>21㎥ 초과</v>
      </c>
      <c r="V62" s="169"/>
      <c r="W62" s="75">
        <f>$W61/$V61</f>
        <v>0.7407407407407407</v>
      </c>
      <c r="X62" s="75">
        <f>X61/V61</f>
        <v>0.92504570383912266</v>
      </c>
      <c r="Y62" s="25" t="str">
        <f>IF((W61-X61)&lt;0,"미달","초과")</f>
        <v>미달</v>
      </c>
      <c r="Z62" s="171"/>
      <c r="AA62" s="173"/>
      <c r="AB62" s="41" t="s">
        <v>15</v>
      </c>
      <c r="AC62" s="72" t="str">
        <f>IFERROR(AC61-AB61,"-")</f>
        <v>-</v>
      </c>
      <c r="AD62" s="174"/>
      <c r="AE62" s="173"/>
      <c r="AF62" s="130"/>
      <c r="AG62" s="133"/>
      <c r="AH62" s="134"/>
      <c r="AI62" s="188"/>
      <c r="AJ62" s="189"/>
    </row>
    <row r="63" spans="2:36" s="46" customFormat="1" ht="24.95" customHeight="1" outlineLevel="1" x14ac:dyDescent="0.3">
      <c r="B63" s="280"/>
      <c r="C63" s="143"/>
      <c r="D63" s="143"/>
      <c r="E63" s="143"/>
      <c r="F63" s="143"/>
      <c r="G63" s="175"/>
      <c r="H63" s="139" t="s">
        <v>24</v>
      </c>
      <c r="I63" s="141" t="s">
        <v>15</v>
      </c>
      <c r="J63" s="143" t="s">
        <v>15</v>
      </c>
      <c r="K63" s="143" t="s">
        <v>15</v>
      </c>
      <c r="L63" s="143" t="s">
        <v>15</v>
      </c>
      <c r="M63" s="27" t="s">
        <v>15</v>
      </c>
      <c r="N63" s="28" t="s">
        <v>15</v>
      </c>
      <c r="O63" s="29" t="s">
        <v>15</v>
      </c>
      <c r="P63" s="30" t="s">
        <v>15</v>
      </c>
      <c r="Q63" s="28" t="s">
        <v>15</v>
      </c>
      <c r="R63" s="28" t="s">
        <v>15</v>
      </c>
      <c r="S63" s="202" t="s">
        <v>15</v>
      </c>
      <c r="T63" s="202" t="s">
        <v>15</v>
      </c>
      <c r="U63" s="31" t="s">
        <v>15</v>
      </c>
      <c r="V63" s="205" t="s">
        <v>15</v>
      </c>
      <c r="W63" s="192" t="s">
        <v>15</v>
      </c>
      <c r="X63" s="27" t="s">
        <v>15</v>
      </c>
      <c r="Y63" s="32" t="s">
        <v>15</v>
      </c>
      <c r="Z63" s="205" t="s">
        <v>15</v>
      </c>
      <c r="AA63" s="192" t="s">
        <v>15</v>
      </c>
      <c r="AB63" s="71" t="s">
        <v>15</v>
      </c>
      <c r="AC63" s="71" t="s">
        <v>15</v>
      </c>
      <c r="AD63" s="209" t="s">
        <v>15</v>
      </c>
      <c r="AE63" s="192" t="s">
        <v>15</v>
      </c>
      <c r="AF63" s="206" t="s">
        <v>15</v>
      </c>
      <c r="AG63" s="213"/>
      <c r="AH63" s="214"/>
      <c r="AI63" s="135"/>
      <c r="AJ63" s="136"/>
    </row>
    <row r="64" spans="2:36" s="46" customFormat="1" ht="24.95" customHeight="1" outlineLevel="1" x14ac:dyDescent="0.3">
      <c r="B64" s="281"/>
      <c r="C64" s="173"/>
      <c r="D64" s="173"/>
      <c r="E64" s="173"/>
      <c r="F64" s="173"/>
      <c r="G64" s="194"/>
      <c r="H64" s="177"/>
      <c r="I64" s="178"/>
      <c r="J64" s="173"/>
      <c r="K64" s="173"/>
      <c r="L64" s="173"/>
      <c r="M64" s="81" t="s">
        <v>15</v>
      </c>
      <c r="N64" s="82" t="s">
        <v>15</v>
      </c>
      <c r="O64" s="83" t="s">
        <v>15</v>
      </c>
      <c r="P64" s="84" t="s">
        <v>15</v>
      </c>
      <c r="Q64" s="67" t="s">
        <v>15</v>
      </c>
      <c r="R64" s="67" t="s">
        <v>15</v>
      </c>
      <c r="S64" s="203"/>
      <c r="T64" s="203"/>
      <c r="U64" s="40" t="s">
        <v>15</v>
      </c>
      <c r="V64" s="171"/>
      <c r="W64" s="173"/>
      <c r="X64" s="41" t="s">
        <v>15</v>
      </c>
      <c r="Y64" s="40" t="s">
        <v>15</v>
      </c>
      <c r="Z64" s="171"/>
      <c r="AA64" s="173"/>
      <c r="AB64" s="41" t="s">
        <v>15</v>
      </c>
      <c r="AC64" s="67" t="s">
        <v>15</v>
      </c>
      <c r="AD64" s="187"/>
      <c r="AE64" s="173"/>
      <c r="AF64" s="225"/>
      <c r="AG64" s="215"/>
      <c r="AH64" s="187"/>
      <c r="AI64" s="137"/>
      <c r="AJ64" s="138"/>
    </row>
    <row r="65" spans="2:36" s="46" customFormat="1" ht="24.95" customHeight="1" outlineLevel="1" x14ac:dyDescent="0.3">
      <c r="B65" s="279">
        <v>4</v>
      </c>
      <c r="C65" s="192" t="s">
        <v>48</v>
      </c>
      <c r="D65" s="192" t="s">
        <v>72</v>
      </c>
      <c r="E65" s="192" t="s">
        <v>13</v>
      </c>
      <c r="F65" s="192" t="s">
        <v>41</v>
      </c>
      <c r="G65" s="193" t="s">
        <v>130</v>
      </c>
      <c r="H65" s="195" t="s">
        <v>23</v>
      </c>
      <c r="I65" s="196" t="s">
        <v>131</v>
      </c>
      <c r="J65" s="192" t="s">
        <v>131</v>
      </c>
      <c r="K65" s="190" t="s">
        <v>131</v>
      </c>
      <c r="L65" s="191" t="s">
        <v>131</v>
      </c>
      <c r="M65" s="15" t="s">
        <v>131</v>
      </c>
      <c r="N65" s="191" t="s">
        <v>131</v>
      </c>
      <c r="O65" s="219" t="s">
        <v>131</v>
      </c>
      <c r="P65" s="30" t="s">
        <v>131</v>
      </c>
      <c r="Q65" s="59" t="s">
        <v>131</v>
      </c>
      <c r="R65" s="59" t="s">
        <v>131</v>
      </c>
      <c r="S65" s="166" t="s">
        <v>15</v>
      </c>
      <c r="T65" s="166" t="s">
        <v>131</v>
      </c>
      <c r="U65" s="31" t="s">
        <v>131</v>
      </c>
      <c r="V65" s="168" t="s">
        <v>131</v>
      </c>
      <c r="W65" s="223" t="s">
        <v>131</v>
      </c>
      <c r="X65" s="77" t="s">
        <v>131</v>
      </c>
      <c r="Y65" s="78" t="s">
        <v>131</v>
      </c>
      <c r="Z65" s="170" t="s">
        <v>131</v>
      </c>
      <c r="AA65" s="172" t="s">
        <v>131</v>
      </c>
      <c r="AB65" s="74" t="s">
        <v>15</v>
      </c>
      <c r="AC65" s="74" t="s">
        <v>15</v>
      </c>
      <c r="AD65" s="172" t="s">
        <v>148</v>
      </c>
      <c r="AE65" s="172" t="s">
        <v>148</v>
      </c>
      <c r="AF65" s="129" t="s">
        <v>131</v>
      </c>
      <c r="AG65" s="131"/>
      <c r="AH65" s="132"/>
      <c r="AI65" s="135"/>
      <c r="AJ65" s="136"/>
    </row>
    <row r="66" spans="2:36" s="46" customFormat="1" ht="24.95" customHeight="1" outlineLevel="1" x14ac:dyDescent="0.3">
      <c r="B66" s="280"/>
      <c r="C66" s="143"/>
      <c r="D66" s="143"/>
      <c r="E66" s="143"/>
      <c r="F66" s="143"/>
      <c r="G66" s="175"/>
      <c r="H66" s="177"/>
      <c r="I66" s="178"/>
      <c r="J66" s="173"/>
      <c r="K66" s="164"/>
      <c r="L66" s="165"/>
      <c r="M66" s="22" t="s">
        <v>131</v>
      </c>
      <c r="N66" s="165"/>
      <c r="O66" s="220"/>
      <c r="P66" s="60" t="s">
        <v>131</v>
      </c>
      <c r="Q66" s="61" t="s">
        <v>131</v>
      </c>
      <c r="R66" s="61" t="s">
        <v>131</v>
      </c>
      <c r="S66" s="167"/>
      <c r="T66" s="167"/>
      <c r="U66" s="40" t="s">
        <v>131</v>
      </c>
      <c r="V66" s="169"/>
      <c r="W66" s="224"/>
      <c r="X66" s="75" t="s">
        <v>131</v>
      </c>
      <c r="Y66" s="25" t="s">
        <v>131</v>
      </c>
      <c r="Z66" s="171"/>
      <c r="AA66" s="173"/>
      <c r="AB66" s="41" t="s">
        <v>15</v>
      </c>
      <c r="AC66" s="72" t="str">
        <f>IFERROR(AC65-AB65,"-")</f>
        <v>-</v>
      </c>
      <c r="AD66" s="174"/>
      <c r="AE66" s="173"/>
      <c r="AF66" s="130"/>
      <c r="AG66" s="133"/>
      <c r="AH66" s="134"/>
      <c r="AI66" s="137"/>
      <c r="AJ66" s="138"/>
    </row>
    <row r="67" spans="2:36" s="46" customFormat="1" ht="24.95" customHeight="1" outlineLevel="1" x14ac:dyDescent="0.3">
      <c r="B67" s="280"/>
      <c r="C67" s="143"/>
      <c r="D67" s="143"/>
      <c r="E67" s="143"/>
      <c r="F67" s="143"/>
      <c r="G67" s="175"/>
      <c r="H67" s="139" t="s">
        <v>24</v>
      </c>
      <c r="I67" s="141" t="s">
        <v>47</v>
      </c>
      <c r="J67" s="143">
        <v>12</v>
      </c>
      <c r="K67" s="143" t="s">
        <v>132</v>
      </c>
      <c r="L67" s="143" t="s">
        <v>47</v>
      </c>
      <c r="M67" s="27" t="s">
        <v>15</v>
      </c>
      <c r="N67" s="192" t="s">
        <v>131</v>
      </c>
      <c r="O67" s="219" t="s">
        <v>131</v>
      </c>
      <c r="P67" s="30">
        <v>12</v>
      </c>
      <c r="Q67" s="59" t="s">
        <v>131</v>
      </c>
      <c r="R67" s="59" t="s">
        <v>131</v>
      </c>
      <c r="S67" s="148">
        <v>225</v>
      </c>
      <c r="T67" s="148">
        <v>169</v>
      </c>
      <c r="U67" s="19">
        <v>273</v>
      </c>
      <c r="V67" s="150">
        <v>209</v>
      </c>
      <c r="W67" s="86">
        <v>209</v>
      </c>
      <c r="X67" s="87">
        <f ca="1">($V67/($AA67-$Z67))*(TODAY()-$Z67)</f>
        <v>198.77085650723026</v>
      </c>
      <c r="Y67" s="88">
        <f ca="1">IF((W67-X67)&lt;0,(X67-W67),(W67-X67))</f>
        <v>10.229143492769737</v>
      </c>
      <c r="Z67" s="152">
        <v>45250</v>
      </c>
      <c r="AA67" s="154">
        <v>46149</v>
      </c>
      <c r="AB67" s="71" t="s">
        <v>15</v>
      </c>
      <c r="AC67" s="71" t="s">
        <v>15</v>
      </c>
      <c r="AD67" s="155">
        <v>45968</v>
      </c>
      <c r="AE67" s="154">
        <v>46088</v>
      </c>
      <c r="AF67" s="182">
        <f ca="1">AA67-TODAY()</f>
        <v>44</v>
      </c>
      <c r="AG67" s="278" t="s">
        <v>133</v>
      </c>
      <c r="AH67" s="184"/>
      <c r="AI67" s="185"/>
      <c r="AJ67" s="186"/>
    </row>
    <row r="68" spans="2:36" s="46" customFormat="1" ht="24.95" customHeight="1" outlineLevel="1" x14ac:dyDescent="0.3">
      <c r="B68" s="281"/>
      <c r="C68" s="173"/>
      <c r="D68" s="173"/>
      <c r="E68" s="173"/>
      <c r="F68" s="173"/>
      <c r="G68" s="194"/>
      <c r="H68" s="177"/>
      <c r="I68" s="178"/>
      <c r="J68" s="173"/>
      <c r="K68" s="173"/>
      <c r="L68" s="173"/>
      <c r="M68" s="81" t="s">
        <v>15</v>
      </c>
      <c r="N68" s="173"/>
      <c r="O68" s="220"/>
      <c r="P68" s="60">
        <f>$P67/$J67</f>
        <v>1</v>
      </c>
      <c r="Q68" s="61" t="s">
        <v>131</v>
      </c>
      <c r="R68" s="61" t="s">
        <v>131</v>
      </c>
      <c r="S68" s="167"/>
      <c r="T68" s="167"/>
      <c r="U68" s="40" t="str">
        <f>IF((T67-U67)&lt;0,(U67-T67)&amp;"㎥"&amp;" "&amp;"미달",(T67-U67)&amp;"㎥"&amp;" "&amp;"초과")</f>
        <v>104㎥ 미달</v>
      </c>
      <c r="V68" s="169"/>
      <c r="W68" s="75">
        <f>$W67/$V67</f>
        <v>1</v>
      </c>
      <c r="X68" s="75">
        <f ca="1">X67/V67</f>
        <v>0.95105672969966637</v>
      </c>
      <c r="Y68" s="25" t="str">
        <f ca="1">IF((W67-X67)&lt;0,"미달","초과")</f>
        <v>초과</v>
      </c>
      <c r="Z68" s="171"/>
      <c r="AA68" s="173"/>
      <c r="AB68" s="41" t="s">
        <v>15</v>
      </c>
      <c r="AC68" s="67" t="s">
        <v>15</v>
      </c>
      <c r="AD68" s="187"/>
      <c r="AE68" s="173"/>
      <c r="AF68" s="130"/>
      <c r="AG68" s="133"/>
      <c r="AH68" s="134"/>
      <c r="AI68" s="137"/>
      <c r="AJ68" s="138"/>
    </row>
    <row r="69" spans="2:36" s="46" customFormat="1" ht="24.95" customHeight="1" outlineLevel="1" x14ac:dyDescent="0.3">
      <c r="B69" s="279">
        <v>5</v>
      </c>
      <c r="C69" s="192" t="s">
        <v>73</v>
      </c>
      <c r="D69" s="192" t="s">
        <v>74</v>
      </c>
      <c r="E69" s="190" t="s">
        <v>134</v>
      </c>
      <c r="F69" s="192" t="s">
        <v>41</v>
      </c>
      <c r="G69" s="193" t="s">
        <v>135</v>
      </c>
      <c r="H69" s="195" t="s">
        <v>23</v>
      </c>
      <c r="I69" s="196" t="s">
        <v>15</v>
      </c>
      <c r="J69" s="192" t="s">
        <v>15</v>
      </c>
      <c r="K69" s="190" t="s">
        <v>15</v>
      </c>
      <c r="L69" s="191" t="s">
        <v>15</v>
      </c>
      <c r="M69" s="15" t="s">
        <v>15</v>
      </c>
      <c r="N69" s="191" t="s">
        <v>15</v>
      </c>
      <c r="O69" s="219" t="s">
        <v>15</v>
      </c>
      <c r="P69" s="16" t="s">
        <v>15</v>
      </c>
      <c r="Q69" s="17" t="s">
        <v>15</v>
      </c>
      <c r="R69" s="17" t="s">
        <v>15</v>
      </c>
      <c r="S69" s="148" t="s">
        <v>15</v>
      </c>
      <c r="T69" s="148" t="s">
        <v>15</v>
      </c>
      <c r="U69" s="19" t="s">
        <v>15</v>
      </c>
      <c r="V69" s="150" t="s">
        <v>15</v>
      </c>
      <c r="W69" s="223" t="s">
        <v>15</v>
      </c>
      <c r="X69" s="87" t="s">
        <v>15</v>
      </c>
      <c r="Y69" s="88" t="s">
        <v>15</v>
      </c>
      <c r="Z69" s="152" t="s">
        <v>15</v>
      </c>
      <c r="AA69" s="154" t="s">
        <v>15</v>
      </c>
      <c r="AB69" s="66" t="s">
        <v>15</v>
      </c>
      <c r="AC69" s="66" t="s">
        <v>15</v>
      </c>
      <c r="AD69" s="154">
        <v>45977</v>
      </c>
      <c r="AE69" s="154">
        <v>46157</v>
      </c>
      <c r="AF69" s="182" t="s">
        <v>15</v>
      </c>
      <c r="AG69" s="183"/>
      <c r="AH69" s="184"/>
      <c r="AI69" s="185"/>
      <c r="AJ69" s="186"/>
    </row>
    <row r="70" spans="2:36" s="46" customFormat="1" ht="24.95" customHeight="1" outlineLevel="1" x14ac:dyDescent="0.3">
      <c r="B70" s="280"/>
      <c r="C70" s="143"/>
      <c r="D70" s="143"/>
      <c r="E70" s="143"/>
      <c r="F70" s="143"/>
      <c r="G70" s="175"/>
      <c r="H70" s="177"/>
      <c r="I70" s="178"/>
      <c r="J70" s="173"/>
      <c r="K70" s="164"/>
      <c r="L70" s="165"/>
      <c r="M70" s="22" t="s">
        <v>15</v>
      </c>
      <c r="N70" s="165"/>
      <c r="O70" s="220"/>
      <c r="P70" s="60" t="s">
        <v>15</v>
      </c>
      <c r="Q70" s="61" t="s">
        <v>15</v>
      </c>
      <c r="R70" s="61" t="s">
        <v>15</v>
      </c>
      <c r="S70" s="167"/>
      <c r="T70" s="167"/>
      <c r="U70" s="40" t="s">
        <v>15</v>
      </c>
      <c r="V70" s="169"/>
      <c r="W70" s="224"/>
      <c r="X70" s="75" t="s">
        <v>15</v>
      </c>
      <c r="Y70" s="25" t="s">
        <v>15</v>
      </c>
      <c r="Z70" s="171"/>
      <c r="AA70" s="173"/>
      <c r="AB70" s="41" t="s">
        <v>15</v>
      </c>
      <c r="AC70" s="72" t="str">
        <f>IFERROR(AC69-AB69,"-")</f>
        <v>-</v>
      </c>
      <c r="AD70" s="174"/>
      <c r="AE70" s="173"/>
      <c r="AF70" s="130"/>
      <c r="AG70" s="133"/>
      <c r="AH70" s="134"/>
      <c r="AI70" s="137"/>
      <c r="AJ70" s="138"/>
    </row>
    <row r="71" spans="2:36" s="46" customFormat="1" ht="167.25" customHeight="1" outlineLevel="1" x14ac:dyDescent="0.3">
      <c r="B71" s="280"/>
      <c r="C71" s="143"/>
      <c r="D71" s="143"/>
      <c r="E71" s="143"/>
      <c r="F71" s="143"/>
      <c r="G71" s="175"/>
      <c r="H71" s="139" t="s">
        <v>37</v>
      </c>
      <c r="I71" s="141">
        <v>0.83</v>
      </c>
      <c r="J71" s="143">
        <v>27</v>
      </c>
      <c r="K71" s="143" t="s">
        <v>178</v>
      </c>
      <c r="L71" s="146">
        <v>0.70799999999999996</v>
      </c>
      <c r="M71" s="109">
        <v>0.80700000000000005</v>
      </c>
      <c r="N71" s="58">
        <f>IF((((($I71-$L71)/($AD71-$Z71))*($N72-$Z71))+$L71)&gt;0.85,$I71,((($I71-$L71)/($AD71-$Z71))*($N72-$Z71))+$L71)</f>
        <v>0.81084297520661153</v>
      </c>
      <c r="O71" s="58">
        <f>M71-N71</f>
        <v>-3.8429752066114764E-3</v>
      </c>
      <c r="P71" s="16">
        <v>27</v>
      </c>
      <c r="Q71" s="17">
        <v>3</v>
      </c>
      <c r="R71" s="17">
        <v>5</v>
      </c>
      <c r="S71" s="148">
        <v>798</v>
      </c>
      <c r="T71" s="148">
        <v>495</v>
      </c>
      <c r="U71" s="19">
        <v>646</v>
      </c>
      <c r="V71" s="150">
        <v>200</v>
      </c>
      <c r="W71" s="86">
        <v>94</v>
      </c>
      <c r="X71" s="87">
        <f ca="1">($V71/($AA71-$Z71))*(TODAY()-$Z71)</f>
        <v>113.64902506963789</v>
      </c>
      <c r="Y71" s="88">
        <f ca="1">IF((W71-X71)&lt;0,(X71-W71),(W71-X71))</f>
        <v>19.649025069637887</v>
      </c>
      <c r="Z71" s="152">
        <v>45901</v>
      </c>
      <c r="AA71" s="154">
        <v>46260</v>
      </c>
      <c r="AB71" s="71" t="s">
        <v>15</v>
      </c>
      <c r="AC71" s="71" t="s">
        <v>15</v>
      </c>
      <c r="AD71" s="155">
        <v>46143</v>
      </c>
      <c r="AE71" s="154">
        <v>46234</v>
      </c>
      <c r="AF71" s="182">
        <f ca="1">AA71-TODAY()</f>
        <v>155</v>
      </c>
      <c r="AG71" s="131" t="s">
        <v>251</v>
      </c>
      <c r="AH71" s="132"/>
      <c r="AI71" s="160" t="s">
        <v>252</v>
      </c>
      <c r="AJ71" s="161"/>
    </row>
    <row r="72" spans="2:36" s="46" customFormat="1" ht="24.95" customHeight="1" outlineLevel="1" x14ac:dyDescent="0.3">
      <c r="B72" s="281"/>
      <c r="C72" s="173"/>
      <c r="D72" s="173"/>
      <c r="E72" s="173"/>
      <c r="F72" s="173"/>
      <c r="G72" s="194"/>
      <c r="H72" s="177"/>
      <c r="I72" s="178"/>
      <c r="J72" s="173"/>
      <c r="K72" s="173"/>
      <c r="L72" s="165"/>
      <c r="M72" s="81" t="s">
        <v>213</v>
      </c>
      <c r="N72" s="23">
        <v>46105</v>
      </c>
      <c r="O72" s="24" t="str">
        <f>IF(O71&gt;0,"초과","미달")</f>
        <v>미달</v>
      </c>
      <c r="P72" s="60">
        <f>$P71/$J71</f>
        <v>1</v>
      </c>
      <c r="Q72" s="61">
        <f>$Q71/$J71</f>
        <v>0.1111111111111111</v>
      </c>
      <c r="R72" s="61">
        <f>IF(R71="-","-",R71/$J71)</f>
        <v>0.18518518518518517</v>
      </c>
      <c r="S72" s="167"/>
      <c r="T72" s="167"/>
      <c r="U72" s="40" t="str">
        <f>IF((T71-U71)&lt;0,(U71-T71)&amp;"㎥"&amp;" "&amp;"미달",(T71-U71)&amp;"㎥"&amp;" "&amp;"초과")</f>
        <v>151㎥ 미달</v>
      </c>
      <c r="V72" s="169"/>
      <c r="W72" s="75">
        <f>$W71/$V71</f>
        <v>0.47</v>
      </c>
      <c r="X72" s="75">
        <f ca="1">X71/V71</f>
        <v>0.56824512534818938</v>
      </c>
      <c r="Y72" s="25" t="str">
        <f ca="1">IF((W71-X71)&lt;0,"미달","초과")</f>
        <v>미달</v>
      </c>
      <c r="Z72" s="171"/>
      <c r="AA72" s="173"/>
      <c r="AB72" s="41" t="s">
        <v>15</v>
      </c>
      <c r="AC72" s="67" t="s">
        <v>15</v>
      </c>
      <c r="AD72" s="187"/>
      <c r="AE72" s="173"/>
      <c r="AF72" s="130"/>
      <c r="AG72" s="133"/>
      <c r="AH72" s="134"/>
      <c r="AI72" s="188"/>
      <c r="AJ72" s="189"/>
    </row>
    <row r="73" spans="2:36" s="46" customFormat="1" ht="24.95" customHeight="1" outlineLevel="1" x14ac:dyDescent="0.3">
      <c r="B73" s="279">
        <v>6</v>
      </c>
      <c r="C73" s="192" t="s">
        <v>48</v>
      </c>
      <c r="D73" s="192" t="s">
        <v>141</v>
      </c>
      <c r="E73" s="190" t="s">
        <v>53</v>
      </c>
      <c r="F73" s="192" t="s">
        <v>41</v>
      </c>
      <c r="G73" s="193" t="s">
        <v>221</v>
      </c>
      <c r="H73" s="195" t="s">
        <v>23</v>
      </c>
      <c r="I73" s="196">
        <v>0.8</v>
      </c>
      <c r="J73" s="192">
        <v>92</v>
      </c>
      <c r="K73" s="190" t="s">
        <v>176</v>
      </c>
      <c r="L73" s="191">
        <v>0.74399999999999999</v>
      </c>
      <c r="M73" s="15">
        <v>0.76600000000000001</v>
      </c>
      <c r="N73" s="15">
        <f>IF((((($I73-$L73)/($AD73-$Z73))*($N74-$Z73))+$L73)&gt;0.85,$I73,((($I73-$L73)/($AD73-$Z73))*($N74-$Z73))+$L73)</f>
        <v>0.76194408602150543</v>
      </c>
      <c r="O73" s="15">
        <f>M73-N73</f>
        <v>4.0559139784945852E-3</v>
      </c>
      <c r="P73" s="16">
        <v>92</v>
      </c>
      <c r="Q73" s="17">
        <v>9</v>
      </c>
      <c r="R73" s="17">
        <v>15</v>
      </c>
      <c r="S73" s="148" t="s">
        <v>15</v>
      </c>
      <c r="T73" s="148" t="s">
        <v>15</v>
      </c>
      <c r="U73" s="19" t="s">
        <v>15</v>
      </c>
      <c r="V73" s="150">
        <v>858</v>
      </c>
      <c r="W73" s="86">
        <v>185</v>
      </c>
      <c r="X73" s="87">
        <v>32</v>
      </c>
      <c r="Y73" s="88">
        <f>IF((W73-X73)&lt;0,(X73-W73),(W73-X73))</f>
        <v>153</v>
      </c>
      <c r="Z73" s="152">
        <v>45807</v>
      </c>
      <c r="AA73" s="154">
        <v>46856</v>
      </c>
      <c r="AB73" s="66" t="s">
        <v>15</v>
      </c>
      <c r="AC73" s="66" t="s">
        <v>15</v>
      </c>
      <c r="AD73" s="154">
        <v>46737</v>
      </c>
      <c r="AE73" s="154">
        <v>46827</v>
      </c>
      <c r="AF73" s="182">
        <f ca="1">AA73-TODAY()</f>
        <v>751</v>
      </c>
      <c r="AG73" s="183"/>
      <c r="AH73" s="184"/>
      <c r="AI73" s="185"/>
      <c r="AJ73" s="186"/>
    </row>
    <row r="74" spans="2:36" s="46" customFormat="1" ht="24.95" customHeight="1" outlineLevel="1" x14ac:dyDescent="0.3">
      <c r="B74" s="280"/>
      <c r="C74" s="143"/>
      <c r="D74" s="143"/>
      <c r="E74" s="143"/>
      <c r="F74" s="143"/>
      <c r="G74" s="175"/>
      <c r="H74" s="177"/>
      <c r="I74" s="178"/>
      <c r="J74" s="173"/>
      <c r="K74" s="164"/>
      <c r="L74" s="165"/>
      <c r="M74" s="22" t="s">
        <v>213</v>
      </c>
      <c r="N74" s="23">
        <v>46105</v>
      </c>
      <c r="O74" s="24" t="str">
        <f>IF(O73&gt;0,"초과","미달")</f>
        <v>초과</v>
      </c>
      <c r="P74" s="60">
        <f>$P73/$J73</f>
        <v>1</v>
      </c>
      <c r="Q74" s="61">
        <f>$Q73/$J73</f>
        <v>9.7826086956521743E-2</v>
      </c>
      <c r="R74" s="61">
        <f>IF(R73="-","-",R73/$J73)</f>
        <v>0.16304347826086957</v>
      </c>
      <c r="S74" s="167"/>
      <c r="T74" s="167"/>
      <c r="U74" s="40" t="s">
        <v>15</v>
      </c>
      <c r="V74" s="169"/>
      <c r="W74" s="75">
        <f>$W73/$V73</f>
        <v>0.21561771561771562</v>
      </c>
      <c r="X74" s="75">
        <f>X73/V73</f>
        <v>3.7296037296037296E-2</v>
      </c>
      <c r="Y74" s="25" t="str">
        <f>IF((W73-X73)&lt;0,"미달","초과")</f>
        <v>초과</v>
      </c>
      <c r="Z74" s="171"/>
      <c r="AA74" s="173"/>
      <c r="AB74" s="41" t="s">
        <v>15</v>
      </c>
      <c r="AC74" s="72" t="str">
        <f>IFERROR(AC73-AB73,"-")</f>
        <v>-</v>
      </c>
      <c r="AD74" s="174"/>
      <c r="AE74" s="173"/>
      <c r="AF74" s="130"/>
      <c r="AG74" s="133"/>
      <c r="AH74" s="134"/>
      <c r="AI74" s="137"/>
      <c r="AJ74" s="138"/>
    </row>
    <row r="75" spans="2:36" s="46" customFormat="1" ht="24.95" customHeight="1" outlineLevel="1" x14ac:dyDescent="0.3">
      <c r="B75" s="280"/>
      <c r="C75" s="143"/>
      <c r="D75" s="143"/>
      <c r="E75" s="143"/>
      <c r="F75" s="143"/>
      <c r="G75" s="175"/>
      <c r="H75" s="139" t="s">
        <v>24</v>
      </c>
      <c r="I75" s="141" t="s">
        <v>15</v>
      </c>
      <c r="J75" s="143" t="s">
        <v>142</v>
      </c>
      <c r="K75" s="143" t="s">
        <v>15</v>
      </c>
      <c r="L75" s="143" t="s">
        <v>15</v>
      </c>
      <c r="M75" s="27" t="s">
        <v>15</v>
      </c>
      <c r="N75" s="192" t="s">
        <v>15</v>
      </c>
      <c r="O75" s="219" t="s">
        <v>15</v>
      </c>
      <c r="P75" s="16" t="s">
        <v>15</v>
      </c>
      <c r="Q75" s="17" t="s">
        <v>15</v>
      </c>
      <c r="R75" s="17" t="s">
        <v>15</v>
      </c>
      <c r="S75" s="148" t="s">
        <v>142</v>
      </c>
      <c r="T75" s="148" t="s">
        <v>142</v>
      </c>
      <c r="U75" s="19" t="s">
        <v>142</v>
      </c>
      <c r="V75" s="150" t="s">
        <v>175</v>
      </c>
      <c r="W75" s="86" t="s">
        <v>175</v>
      </c>
      <c r="X75" s="87" t="s">
        <v>175</v>
      </c>
      <c r="Y75" s="88" t="s">
        <v>175</v>
      </c>
      <c r="Z75" s="152" t="s">
        <v>175</v>
      </c>
      <c r="AA75" s="154" t="s">
        <v>175</v>
      </c>
      <c r="AB75" s="71" t="s">
        <v>15</v>
      </c>
      <c r="AC75" s="71" t="s">
        <v>15</v>
      </c>
      <c r="AD75" s="155" t="s">
        <v>175</v>
      </c>
      <c r="AE75" s="154" t="s">
        <v>175</v>
      </c>
      <c r="AF75" s="129" t="s">
        <v>175</v>
      </c>
      <c r="AG75" s="131"/>
      <c r="AH75" s="132"/>
      <c r="AI75" s="160"/>
      <c r="AJ75" s="161"/>
    </row>
    <row r="76" spans="2:36" s="46" customFormat="1" ht="24.95" customHeight="1" outlineLevel="1" x14ac:dyDescent="0.3">
      <c r="B76" s="281"/>
      <c r="C76" s="173"/>
      <c r="D76" s="173"/>
      <c r="E76" s="173"/>
      <c r="F76" s="173"/>
      <c r="G76" s="194"/>
      <c r="H76" s="177"/>
      <c r="I76" s="178"/>
      <c r="J76" s="173"/>
      <c r="K76" s="173"/>
      <c r="L76" s="173"/>
      <c r="M76" s="81" t="s">
        <v>15</v>
      </c>
      <c r="N76" s="173"/>
      <c r="O76" s="220"/>
      <c r="P76" s="60" t="s">
        <v>15</v>
      </c>
      <c r="Q76" s="61" t="s">
        <v>15</v>
      </c>
      <c r="R76" s="61" t="s">
        <v>15</v>
      </c>
      <c r="S76" s="167"/>
      <c r="T76" s="167"/>
      <c r="U76" s="40" t="s">
        <v>142</v>
      </c>
      <c r="V76" s="169"/>
      <c r="W76" s="75" t="s">
        <v>175</v>
      </c>
      <c r="X76" s="75" t="s">
        <v>175</v>
      </c>
      <c r="Y76" s="25" t="s">
        <v>175</v>
      </c>
      <c r="Z76" s="171"/>
      <c r="AA76" s="173"/>
      <c r="AB76" s="41" t="s">
        <v>15</v>
      </c>
      <c r="AC76" s="67" t="s">
        <v>15</v>
      </c>
      <c r="AD76" s="187"/>
      <c r="AE76" s="173"/>
      <c r="AF76" s="130"/>
      <c r="AG76" s="133"/>
      <c r="AH76" s="134"/>
      <c r="AI76" s="188"/>
      <c r="AJ76" s="189"/>
    </row>
    <row r="77" spans="2:36" s="46" customFormat="1" ht="61.5" customHeight="1" outlineLevel="1" x14ac:dyDescent="0.3">
      <c r="B77" s="279">
        <v>7</v>
      </c>
      <c r="C77" s="192" t="s">
        <v>224</v>
      </c>
      <c r="D77" s="192" t="s">
        <v>202</v>
      </c>
      <c r="E77" s="190" t="s">
        <v>40</v>
      </c>
      <c r="F77" s="192" t="s">
        <v>41</v>
      </c>
      <c r="G77" s="193" t="s">
        <v>203</v>
      </c>
      <c r="H77" s="195" t="s">
        <v>23</v>
      </c>
      <c r="I77" s="196">
        <v>0.85</v>
      </c>
      <c r="J77" s="192">
        <v>5</v>
      </c>
      <c r="K77" s="190" t="s">
        <v>132</v>
      </c>
      <c r="L77" s="191">
        <v>0.7</v>
      </c>
      <c r="M77" s="15">
        <v>0.91</v>
      </c>
      <c r="N77" s="15">
        <f>IF((((($I77-$L77)/($AD77-$Z77))*($N78-$Z77))+$L77)&gt;0.85,$I77,((($I77-$L77)/($AD77-$Z77))*($N78-$Z77))+$L77)</f>
        <v>0.7338709677419355</v>
      </c>
      <c r="O77" s="15">
        <f>M77-N77</f>
        <v>0.17612903225806453</v>
      </c>
      <c r="P77" s="16">
        <v>3</v>
      </c>
      <c r="Q77" s="17">
        <v>0</v>
      </c>
      <c r="R77" s="17">
        <v>0</v>
      </c>
      <c r="S77" s="148" t="s">
        <v>15</v>
      </c>
      <c r="T77" s="148" t="s">
        <v>15</v>
      </c>
      <c r="U77" s="19" t="s">
        <v>15</v>
      </c>
      <c r="V77" s="150" t="s">
        <v>218</v>
      </c>
      <c r="W77" s="86" t="s">
        <v>218</v>
      </c>
      <c r="X77" s="87" t="s">
        <v>218</v>
      </c>
      <c r="Y77" s="88" t="s">
        <v>218</v>
      </c>
      <c r="Z77" s="152">
        <v>46014</v>
      </c>
      <c r="AA77" s="154">
        <v>47153</v>
      </c>
      <c r="AB77" s="66" t="s">
        <v>15</v>
      </c>
      <c r="AC77" s="66" t="s">
        <v>15</v>
      </c>
      <c r="AD77" s="154">
        <v>46417</v>
      </c>
      <c r="AE77" s="154">
        <v>46782</v>
      </c>
      <c r="AF77" s="182">
        <f ca="1">AA77-TODAY()</f>
        <v>1048</v>
      </c>
      <c r="AG77" s="183" t="s">
        <v>245</v>
      </c>
      <c r="AH77" s="184"/>
      <c r="AI77" s="185"/>
      <c r="AJ77" s="186"/>
    </row>
    <row r="78" spans="2:36" s="46" customFormat="1" ht="24.95" customHeight="1" outlineLevel="1" x14ac:dyDescent="0.3">
      <c r="B78" s="280"/>
      <c r="C78" s="143"/>
      <c r="D78" s="143"/>
      <c r="E78" s="143"/>
      <c r="F78" s="143"/>
      <c r="G78" s="175"/>
      <c r="H78" s="177"/>
      <c r="I78" s="178"/>
      <c r="J78" s="173"/>
      <c r="K78" s="164"/>
      <c r="L78" s="165"/>
      <c r="M78" s="22" t="s">
        <v>213</v>
      </c>
      <c r="N78" s="23">
        <v>46105</v>
      </c>
      <c r="O78" s="24" t="str">
        <f>IF(O77&gt;0,"초과","미달")</f>
        <v>초과</v>
      </c>
      <c r="P78" s="60">
        <f>$P77/$J77</f>
        <v>0.6</v>
      </c>
      <c r="Q78" s="61">
        <f>$Q77/$J77</f>
        <v>0</v>
      </c>
      <c r="R78" s="61">
        <f>IF(R77="-","-",R77/$J77)</f>
        <v>0</v>
      </c>
      <c r="S78" s="167"/>
      <c r="T78" s="167"/>
      <c r="U78" s="40" t="s">
        <v>15</v>
      </c>
      <c r="V78" s="169"/>
      <c r="W78" s="75" t="s">
        <v>218</v>
      </c>
      <c r="X78" s="75" t="s">
        <v>218</v>
      </c>
      <c r="Y78" s="25" t="s">
        <v>218</v>
      </c>
      <c r="Z78" s="171"/>
      <c r="AA78" s="173"/>
      <c r="AB78" s="41" t="s">
        <v>15</v>
      </c>
      <c r="AC78" s="72" t="str">
        <f>IFERROR(AC77-AB77,"-")</f>
        <v>-</v>
      </c>
      <c r="AD78" s="174"/>
      <c r="AE78" s="173"/>
      <c r="AF78" s="130"/>
      <c r="AG78" s="133"/>
      <c r="AH78" s="134"/>
      <c r="AI78" s="137"/>
      <c r="AJ78" s="138"/>
    </row>
    <row r="79" spans="2:36" s="46" customFormat="1" ht="24.95" customHeight="1" outlineLevel="1" x14ac:dyDescent="0.3">
      <c r="B79" s="280"/>
      <c r="C79" s="143"/>
      <c r="D79" s="143"/>
      <c r="E79" s="143"/>
      <c r="F79" s="143"/>
      <c r="G79" s="175"/>
      <c r="H79" s="139" t="s">
        <v>24</v>
      </c>
      <c r="I79" s="141" t="s">
        <v>244</v>
      </c>
      <c r="J79" s="143">
        <v>34</v>
      </c>
      <c r="K79" s="145" t="s">
        <v>205</v>
      </c>
      <c r="L79" s="143" t="s">
        <v>204</v>
      </c>
      <c r="M79" s="27" t="s">
        <v>15</v>
      </c>
      <c r="N79" s="15" t="s">
        <v>204</v>
      </c>
      <c r="O79" s="15" t="s">
        <v>204</v>
      </c>
      <c r="P79" s="16">
        <v>1</v>
      </c>
      <c r="Q79" s="17" t="s">
        <v>15</v>
      </c>
      <c r="R79" s="17" t="s">
        <v>15</v>
      </c>
      <c r="S79" s="148" t="s">
        <v>15</v>
      </c>
      <c r="T79" s="148" t="s">
        <v>15</v>
      </c>
      <c r="U79" s="19" t="s">
        <v>15</v>
      </c>
      <c r="V79" s="150" t="s">
        <v>15</v>
      </c>
      <c r="W79" s="86" t="s">
        <v>15</v>
      </c>
      <c r="X79" s="87" t="s">
        <v>15</v>
      </c>
      <c r="Y79" s="88" t="s">
        <v>15</v>
      </c>
      <c r="Z79" s="152">
        <v>46014</v>
      </c>
      <c r="AA79" s="154">
        <v>47153</v>
      </c>
      <c r="AB79" s="71" t="s">
        <v>15</v>
      </c>
      <c r="AC79" s="71" t="s">
        <v>15</v>
      </c>
      <c r="AD79" s="155">
        <v>46542</v>
      </c>
      <c r="AE79" s="154">
        <v>46907</v>
      </c>
      <c r="AF79" s="129">
        <f ca="1">AA79-TODAY()</f>
        <v>1048</v>
      </c>
      <c r="AG79" s="131" t="s">
        <v>206</v>
      </c>
      <c r="AH79" s="132"/>
      <c r="AI79" s="160"/>
      <c r="AJ79" s="161"/>
    </row>
    <row r="80" spans="2:36" s="46" customFormat="1" ht="24.95" customHeight="1" outlineLevel="1" x14ac:dyDescent="0.3">
      <c r="B80" s="281"/>
      <c r="C80" s="173"/>
      <c r="D80" s="173"/>
      <c r="E80" s="173"/>
      <c r="F80" s="173"/>
      <c r="G80" s="194"/>
      <c r="H80" s="177"/>
      <c r="I80" s="178"/>
      <c r="J80" s="173"/>
      <c r="K80" s="173"/>
      <c r="L80" s="173"/>
      <c r="M80" s="81" t="s">
        <v>15</v>
      </c>
      <c r="N80" s="128">
        <v>46105</v>
      </c>
      <c r="O80" s="24" t="str">
        <f>IF(O79&gt;0,"초과","미달")</f>
        <v>초과</v>
      </c>
      <c r="P80" s="60" t="s">
        <v>15</v>
      </c>
      <c r="Q80" s="61" t="s">
        <v>15</v>
      </c>
      <c r="R80" s="61" t="s">
        <v>15</v>
      </c>
      <c r="S80" s="167"/>
      <c r="T80" s="167"/>
      <c r="U80" s="40" t="s">
        <v>15</v>
      </c>
      <c r="V80" s="169"/>
      <c r="W80" s="75" t="s">
        <v>15</v>
      </c>
      <c r="X80" s="75" t="s">
        <v>15</v>
      </c>
      <c r="Y80" s="25" t="s">
        <v>15</v>
      </c>
      <c r="Z80" s="171"/>
      <c r="AA80" s="173"/>
      <c r="AB80" s="41" t="s">
        <v>15</v>
      </c>
      <c r="AC80" s="67" t="s">
        <v>15</v>
      </c>
      <c r="AD80" s="187"/>
      <c r="AE80" s="173"/>
      <c r="AF80" s="130"/>
      <c r="AG80" s="133"/>
      <c r="AH80" s="134"/>
      <c r="AI80" s="188"/>
      <c r="AJ80" s="189"/>
    </row>
    <row r="81" spans="2:36" s="46" customFormat="1" ht="24.95" customHeight="1" outlineLevel="1" x14ac:dyDescent="0.3">
      <c r="B81" s="280">
        <v>8</v>
      </c>
      <c r="C81" s="143" t="s">
        <v>48</v>
      </c>
      <c r="D81" s="143" t="s">
        <v>75</v>
      </c>
      <c r="E81" s="145" t="s">
        <v>113</v>
      </c>
      <c r="F81" s="143" t="s">
        <v>41</v>
      </c>
      <c r="G81" s="175" t="s">
        <v>258</v>
      </c>
      <c r="H81" s="139" t="s">
        <v>23</v>
      </c>
      <c r="I81" s="141">
        <v>0.85</v>
      </c>
      <c r="J81" s="143">
        <v>7</v>
      </c>
      <c r="K81" s="145" t="s">
        <v>132</v>
      </c>
      <c r="L81" s="146">
        <v>0.84899999999999998</v>
      </c>
      <c r="M81" s="58">
        <v>0.80300000000000005</v>
      </c>
      <c r="N81" s="58">
        <f>IF((((($I81-$L81)/($AD81-$Z81))*($N82-$Z81))+$L81)&gt;0.85,$I81,((($I81-$L81)/($AD81-$Z81))*($N82-$Z81))+$L81)</f>
        <v>0.84945499999999996</v>
      </c>
      <c r="O81" s="58">
        <f>M81-N81</f>
        <v>-4.6454999999999913E-2</v>
      </c>
      <c r="P81" s="30">
        <v>7</v>
      </c>
      <c r="Q81" s="59">
        <v>2</v>
      </c>
      <c r="R81" s="59" t="s">
        <v>259</v>
      </c>
      <c r="S81" s="166">
        <v>161</v>
      </c>
      <c r="T81" s="166">
        <v>159</v>
      </c>
      <c r="U81" s="31">
        <v>184</v>
      </c>
      <c r="V81" s="168">
        <v>27</v>
      </c>
      <c r="W81" s="79">
        <v>7</v>
      </c>
      <c r="X81" s="87">
        <f ca="1">($V81/($AA81-$Z81))*(TODAY()-$Z81)</f>
        <v>11.385542168674698</v>
      </c>
      <c r="Y81" s="88">
        <f ca="1">IF((W81-X81)&lt;0,(X81-W81),(W81-X81))</f>
        <v>4.3855421686746983</v>
      </c>
      <c r="Z81" s="170">
        <v>45650</v>
      </c>
      <c r="AA81" s="172">
        <v>46729</v>
      </c>
      <c r="AB81" s="74" t="s">
        <v>15</v>
      </c>
      <c r="AC81" s="74" t="s">
        <v>15</v>
      </c>
      <c r="AD81" s="172">
        <v>46650</v>
      </c>
      <c r="AE81" s="172">
        <v>46710</v>
      </c>
      <c r="AF81" s="129">
        <f ca="1">AA81-TODAY()</f>
        <v>624</v>
      </c>
      <c r="AG81" s="131"/>
      <c r="AH81" s="132"/>
      <c r="AI81" s="135"/>
      <c r="AJ81" s="136"/>
    </row>
    <row r="82" spans="2:36" s="46" customFormat="1" ht="24.95" customHeight="1" outlineLevel="1" x14ac:dyDescent="0.3">
      <c r="B82" s="280"/>
      <c r="C82" s="143"/>
      <c r="D82" s="143"/>
      <c r="E82" s="143"/>
      <c r="F82" s="143"/>
      <c r="G82" s="175"/>
      <c r="H82" s="177"/>
      <c r="I82" s="178"/>
      <c r="J82" s="173"/>
      <c r="K82" s="164"/>
      <c r="L82" s="165"/>
      <c r="M82" s="22" t="s">
        <v>213</v>
      </c>
      <c r="N82" s="23">
        <v>46105</v>
      </c>
      <c r="O82" s="24" t="str">
        <f>IF(O81&gt;0,"초과","미달")</f>
        <v>미달</v>
      </c>
      <c r="P82" s="60">
        <f>$P81/$J81</f>
        <v>1</v>
      </c>
      <c r="Q82" s="61">
        <f>$Q81/$J81</f>
        <v>0.2857142857142857</v>
      </c>
      <c r="R82" s="61" t="str">
        <f>IF(R81="-","-",R81/$J81)</f>
        <v>-</v>
      </c>
      <c r="S82" s="167"/>
      <c r="T82" s="167"/>
      <c r="U82" s="40" t="str">
        <f>IF((T81-U81)&lt;0,(U81-T81)&amp;"㎥"&amp;" "&amp;"미달",(T81-U81)&amp;"㎥"&amp;" "&amp;"초과")</f>
        <v>25㎥ 미달</v>
      </c>
      <c r="V82" s="169"/>
      <c r="W82" s="75">
        <f>$W81/$V81</f>
        <v>0.25925925925925924</v>
      </c>
      <c r="X82" s="75">
        <f ca="1">X81/V81</f>
        <v>0.42168674698795178</v>
      </c>
      <c r="Y82" s="25" t="str">
        <f ca="1">IF((W81-X81)&lt;0,"미달","초과")</f>
        <v>미달</v>
      </c>
      <c r="Z82" s="171"/>
      <c r="AA82" s="173"/>
      <c r="AB82" s="41" t="s">
        <v>15</v>
      </c>
      <c r="AC82" s="72" t="str">
        <f>IFERROR(AC81-AB81,"-")</f>
        <v>-</v>
      </c>
      <c r="AD82" s="174"/>
      <c r="AE82" s="173"/>
      <c r="AF82" s="130"/>
      <c r="AG82" s="133"/>
      <c r="AH82" s="134"/>
      <c r="AI82" s="137"/>
      <c r="AJ82" s="138"/>
    </row>
    <row r="83" spans="2:36" s="46" customFormat="1" ht="24.95" customHeight="1" outlineLevel="1" x14ac:dyDescent="0.3">
      <c r="B83" s="280"/>
      <c r="C83" s="143"/>
      <c r="D83" s="143"/>
      <c r="E83" s="143"/>
      <c r="F83" s="143"/>
      <c r="G83" s="175"/>
      <c r="H83" s="139" t="s">
        <v>24</v>
      </c>
      <c r="I83" s="141">
        <v>0.7</v>
      </c>
      <c r="J83" s="143">
        <v>12</v>
      </c>
      <c r="K83" s="145" t="s">
        <v>205</v>
      </c>
      <c r="L83" s="146">
        <v>0.64900000000000002</v>
      </c>
      <c r="M83" s="109">
        <v>0.65300000000000002</v>
      </c>
      <c r="N83" s="58">
        <f>IF((((($I83-$L83)/($AD83-$Z83))*($N84-$Z83))+$L83)&gt;0.85,$I83,((($I83-$L83)/($AD83-$Z83))*($N84-$Z83))+$L83)</f>
        <v>0.67220499999999994</v>
      </c>
      <c r="O83" s="58">
        <f>M83-N83</f>
        <v>-1.9204999999999917E-2</v>
      </c>
      <c r="P83" s="16">
        <v>10</v>
      </c>
      <c r="Q83" s="17">
        <v>2</v>
      </c>
      <c r="R83" s="17" t="s">
        <v>15</v>
      </c>
      <c r="S83" s="148">
        <v>304</v>
      </c>
      <c r="T83" s="148">
        <v>270</v>
      </c>
      <c r="U83" s="19">
        <v>280</v>
      </c>
      <c r="V83" s="150">
        <v>27</v>
      </c>
      <c r="W83" s="86">
        <v>13</v>
      </c>
      <c r="X83" s="87">
        <f ca="1">($V83/($AA83-$Z83))*(TODAY()-$Z83)</f>
        <v>11.385542168674698</v>
      </c>
      <c r="Y83" s="88">
        <f ca="1">IF((W83-X83)&lt;0,(X83-W83),(W83-X83))</f>
        <v>1.6144578313253017</v>
      </c>
      <c r="Z83" s="152">
        <v>45650</v>
      </c>
      <c r="AA83" s="154">
        <v>46729</v>
      </c>
      <c r="AB83" s="71" t="s">
        <v>15</v>
      </c>
      <c r="AC83" s="71" t="s">
        <v>15</v>
      </c>
      <c r="AD83" s="155">
        <v>46650</v>
      </c>
      <c r="AE83" s="154">
        <v>46710</v>
      </c>
      <c r="AF83" s="129">
        <f ca="1">AA83-TODAY()</f>
        <v>624</v>
      </c>
      <c r="AG83" s="131"/>
      <c r="AH83" s="132"/>
      <c r="AI83" s="160"/>
      <c r="AJ83" s="161"/>
    </row>
    <row r="84" spans="2:36" s="46" customFormat="1" ht="24.95" customHeight="1" outlineLevel="1" thickBot="1" x14ac:dyDescent="0.35">
      <c r="B84" s="282"/>
      <c r="C84" s="144"/>
      <c r="D84" s="144"/>
      <c r="E84" s="144"/>
      <c r="F84" s="144"/>
      <c r="G84" s="176"/>
      <c r="H84" s="140"/>
      <c r="I84" s="142"/>
      <c r="J84" s="144"/>
      <c r="K84" s="144"/>
      <c r="L84" s="147"/>
      <c r="M84" s="33" t="s">
        <v>213</v>
      </c>
      <c r="N84" s="121">
        <v>46105</v>
      </c>
      <c r="O84" s="98" t="str">
        <f>IF(O83&gt;0,"초과","미달")</f>
        <v>미달</v>
      </c>
      <c r="P84" s="93">
        <f>$P83/J83</f>
        <v>0.83333333333333337</v>
      </c>
      <c r="Q84" s="94" t="s">
        <v>15</v>
      </c>
      <c r="R84" s="94" t="s">
        <v>15</v>
      </c>
      <c r="S84" s="149"/>
      <c r="T84" s="149"/>
      <c r="U84" s="36" t="str">
        <f>IF((T83-U83)&lt;0,(U83-T83)&amp;"㎥"&amp;" "&amp;"미달",(T83-U83)&amp;"㎥"&amp;" "&amp;"초과")</f>
        <v>10㎥ 미달</v>
      </c>
      <c r="V84" s="151"/>
      <c r="W84" s="95">
        <f>$W83/$V83</f>
        <v>0.48148148148148145</v>
      </c>
      <c r="X84" s="95">
        <f ca="1">X83/V83</f>
        <v>0.42168674698795178</v>
      </c>
      <c r="Y84" s="96" t="str">
        <f ca="1">IF((W83-X83)&lt;0,"미달","초과")</f>
        <v>초과</v>
      </c>
      <c r="Z84" s="153"/>
      <c r="AA84" s="144"/>
      <c r="AB84" s="37" t="s">
        <v>15</v>
      </c>
      <c r="AC84" s="35" t="s">
        <v>15</v>
      </c>
      <c r="AD84" s="156"/>
      <c r="AE84" s="144"/>
      <c r="AF84" s="157"/>
      <c r="AG84" s="158"/>
      <c r="AH84" s="159"/>
      <c r="AI84" s="162"/>
      <c r="AJ84" s="163"/>
    </row>
    <row r="85" spans="2:36" s="45" customFormat="1" ht="37.5" customHeight="1" thickBot="1" x14ac:dyDescent="0.35">
      <c r="B85" s="222" t="s">
        <v>92</v>
      </c>
      <c r="C85" s="222"/>
      <c r="D85" s="222"/>
      <c r="E85" s="222"/>
      <c r="F85" s="222"/>
      <c r="G85" s="222"/>
      <c r="H85" s="222"/>
      <c r="I85" s="222"/>
      <c r="J85" s="222"/>
      <c r="K85" s="222"/>
      <c r="L85" s="222"/>
      <c r="M85" s="222"/>
      <c r="N85" s="222"/>
      <c r="O85" s="222"/>
      <c r="P85" s="222"/>
      <c r="Q85" s="222"/>
      <c r="R85" s="222"/>
      <c r="S85" s="222"/>
      <c r="T85" s="222"/>
      <c r="U85" s="222"/>
      <c r="V85" s="222"/>
      <c r="W85" s="222"/>
      <c r="X85" s="222"/>
      <c r="Y85" s="222"/>
      <c r="Z85" s="222"/>
      <c r="AA85" s="222"/>
      <c r="AB85" s="222"/>
      <c r="AC85" s="222"/>
      <c r="AD85" s="222"/>
      <c r="AE85" s="222"/>
      <c r="AF85" s="222"/>
      <c r="AG85" s="222"/>
      <c r="AH85" s="222"/>
      <c r="AI85" s="222"/>
      <c r="AJ85" s="222"/>
    </row>
    <row r="86" spans="2:36" s="46" customFormat="1" ht="43.5" customHeight="1" outlineLevel="1" x14ac:dyDescent="0.3">
      <c r="B86" s="279">
        <v>1</v>
      </c>
      <c r="C86" s="192" t="s">
        <v>224</v>
      </c>
      <c r="D86" s="192" t="s">
        <v>78</v>
      </c>
      <c r="E86" s="190" t="s">
        <v>129</v>
      </c>
      <c r="F86" s="192" t="s">
        <v>50</v>
      </c>
      <c r="G86" s="193" t="s">
        <v>117</v>
      </c>
      <c r="H86" s="195" t="s">
        <v>23</v>
      </c>
      <c r="I86" s="196">
        <v>0.85</v>
      </c>
      <c r="J86" s="192">
        <v>26</v>
      </c>
      <c r="K86" s="190" t="s">
        <v>118</v>
      </c>
      <c r="L86" s="191">
        <v>0.82699999999999996</v>
      </c>
      <c r="M86" s="15">
        <v>0.83799999999999997</v>
      </c>
      <c r="N86" s="15">
        <f>IF((((($I86-$L86)/($AD86-$Z86))*($N87-$Z86))+$L86)&gt;0.85,$I86,((($I86-$L86)/($AD86-$Z86))*($N87-$Z86))+$L86)</f>
        <v>0.85</v>
      </c>
      <c r="O86" s="15">
        <f>M86-N86</f>
        <v>-1.2000000000000011E-2</v>
      </c>
      <c r="P86" s="99">
        <v>26</v>
      </c>
      <c r="Q86" s="100">
        <v>3</v>
      </c>
      <c r="R86" s="100">
        <v>10</v>
      </c>
      <c r="S86" s="148">
        <v>246</v>
      </c>
      <c r="T86" s="148">
        <v>85</v>
      </c>
      <c r="U86" s="19">
        <v>133</v>
      </c>
      <c r="V86" s="150">
        <v>59</v>
      </c>
      <c r="W86" s="86">
        <v>12</v>
      </c>
      <c r="X86" s="87">
        <f>($V86/($AA86-$Z86))*($N87-$Z86)</f>
        <v>24.106946983546617</v>
      </c>
      <c r="Y86" s="88">
        <f>IF((W86-X86)&lt;0,(X86-W86),(W86-X86))</f>
        <v>12.106946983546617</v>
      </c>
      <c r="Z86" s="152">
        <v>45658</v>
      </c>
      <c r="AA86" s="154">
        <v>46752</v>
      </c>
      <c r="AB86" s="66" t="s">
        <v>15</v>
      </c>
      <c r="AC86" s="66" t="s">
        <v>15</v>
      </c>
      <c r="AD86" s="154">
        <v>46023</v>
      </c>
      <c r="AE86" s="154">
        <v>46752</v>
      </c>
      <c r="AF86" s="182">
        <f ca="1">AA86-TODAY()</f>
        <v>647</v>
      </c>
      <c r="AG86" s="183" t="s">
        <v>253</v>
      </c>
      <c r="AH86" s="184"/>
      <c r="AI86" s="216" t="s">
        <v>254</v>
      </c>
      <c r="AJ86" s="201"/>
    </row>
    <row r="87" spans="2:36" s="46" customFormat="1" ht="43.5" customHeight="1" outlineLevel="1" x14ac:dyDescent="0.3">
      <c r="B87" s="280"/>
      <c r="C87" s="143"/>
      <c r="D87" s="143"/>
      <c r="E87" s="143"/>
      <c r="F87" s="143"/>
      <c r="G87" s="175"/>
      <c r="H87" s="177"/>
      <c r="I87" s="178"/>
      <c r="J87" s="173"/>
      <c r="K87" s="164"/>
      <c r="L87" s="165"/>
      <c r="M87" s="22" t="s">
        <v>213</v>
      </c>
      <c r="N87" s="23">
        <v>46105</v>
      </c>
      <c r="O87" s="24" t="str">
        <f>IF(O86&gt;0,"초과","미달")</f>
        <v>미달</v>
      </c>
      <c r="P87" s="60">
        <f>$P86/$J86</f>
        <v>1</v>
      </c>
      <c r="Q87" s="61">
        <f>$Q86/$J86</f>
        <v>0.11538461538461539</v>
      </c>
      <c r="R87" s="61">
        <f>IF(R86="-","-",R86/$J86)</f>
        <v>0.38461538461538464</v>
      </c>
      <c r="S87" s="167"/>
      <c r="T87" s="167"/>
      <c r="U87" s="40" t="str">
        <f>IF((T86-U86)&lt;0,(U86-T86)&amp;"㎥"&amp;" "&amp;"미달",(T86-U86)&amp;"㎥"&amp;" "&amp;"초과")</f>
        <v>48㎥ 미달</v>
      </c>
      <c r="V87" s="169"/>
      <c r="W87" s="75">
        <f>$W86/$V86</f>
        <v>0.20338983050847459</v>
      </c>
      <c r="X87" s="75">
        <f>X86/V86</f>
        <v>0.40859232175502741</v>
      </c>
      <c r="Y87" s="25" t="str">
        <f>IF((W86-X86)&lt;0,"미달","초과")</f>
        <v>미달</v>
      </c>
      <c r="Z87" s="171"/>
      <c r="AA87" s="173"/>
      <c r="AB87" s="41" t="s">
        <v>15</v>
      </c>
      <c r="AC87" s="72" t="str">
        <f>IFERROR(AC86-AB86,"-")</f>
        <v>-</v>
      </c>
      <c r="AD87" s="174"/>
      <c r="AE87" s="173"/>
      <c r="AF87" s="130"/>
      <c r="AG87" s="133"/>
      <c r="AH87" s="134"/>
      <c r="AI87" s="188"/>
      <c r="AJ87" s="189"/>
    </row>
    <row r="88" spans="2:36" s="46" customFormat="1" ht="24.95" customHeight="1" outlineLevel="1" x14ac:dyDescent="0.3">
      <c r="B88" s="280"/>
      <c r="C88" s="143"/>
      <c r="D88" s="143"/>
      <c r="E88" s="143"/>
      <c r="F88" s="143"/>
      <c r="G88" s="175"/>
      <c r="H88" s="139" t="s">
        <v>24</v>
      </c>
      <c r="I88" s="141" t="s">
        <v>15</v>
      </c>
      <c r="J88" s="143" t="s">
        <v>15</v>
      </c>
      <c r="K88" s="143" t="s">
        <v>15</v>
      </c>
      <c r="L88" s="143" t="s">
        <v>15</v>
      </c>
      <c r="M88" s="27" t="s">
        <v>15</v>
      </c>
      <c r="N88" s="28" t="s">
        <v>15</v>
      </c>
      <c r="O88" s="29" t="s">
        <v>15</v>
      </c>
      <c r="P88" s="30" t="s">
        <v>15</v>
      </c>
      <c r="Q88" s="28" t="s">
        <v>15</v>
      </c>
      <c r="R88" s="28" t="s">
        <v>15</v>
      </c>
      <c r="S88" s="202" t="s">
        <v>15</v>
      </c>
      <c r="T88" s="202" t="s">
        <v>15</v>
      </c>
      <c r="U88" s="31" t="s">
        <v>15</v>
      </c>
      <c r="V88" s="205" t="s">
        <v>15</v>
      </c>
      <c r="W88" s="192" t="s">
        <v>15</v>
      </c>
      <c r="X88" s="27" t="s">
        <v>15</v>
      </c>
      <c r="Y88" s="32" t="s">
        <v>15</v>
      </c>
      <c r="Z88" s="205" t="s">
        <v>15</v>
      </c>
      <c r="AA88" s="192" t="s">
        <v>15</v>
      </c>
      <c r="AB88" s="71" t="s">
        <v>15</v>
      </c>
      <c r="AC88" s="71" t="s">
        <v>15</v>
      </c>
      <c r="AD88" s="209" t="s">
        <v>15</v>
      </c>
      <c r="AE88" s="192" t="s">
        <v>15</v>
      </c>
      <c r="AF88" s="206" t="s">
        <v>15</v>
      </c>
      <c r="AG88" s="213"/>
      <c r="AH88" s="214"/>
      <c r="AI88" s="135"/>
      <c r="AJ88" s="136"/>
    </row>
    <row r="89" spans="2:36" s="46" customFormat="1" ht="24.95" customHeight="1" outlineLevel="1" x14ac:dyDescent="0.3">
      <c r="B89" s="281"/>
      <c r="C89" s="173"/>
      <c r="D89" s="173"/>
      <c r="E89" s="173"/>
      <c r="F89" s="173"/>
      <c r="G89" s="194"/>
      <c r="H89" s="177"/>
      <c r="I89" s="178"/>
      <c r="J89" s="173"/>
      <c r="K89" s="173"/>
      <c r="L89" s="173"/>
      <c r="M89" s="81" t="s">
        <v>15</v>
      </c>
      <c r="N89" s="82" t="s">
        <v>15</v>
      </c>
      <c r="O89" s="83" t="s">
        <v>15</v>
      </c>
      <c r="P89" s="84" t="s">
        <v>15</v>
      </c>
      <c r="Q89" s="67" t="s">
        <v>15</v>
      </c>
      <c r="R89" s="67" t="s">
        <v>15</v>
      </c>
      <c r="S89" s="203"/>
      <c r="T89" s="203"/>
      <c r="U89" s="40" t="s">
        <v>15</v>
      </c>
      <c r="V89" s="171"/>
      <c r="W89" s="173"/>
      <c r="X89" s="41" t="s">
        <v>15</v>
      </c>
      <c r="Y89" s="40" t="s">
        <v>15</v>
      </c>
      <c r="Z89" s="171"/>
      <c r="AA89" s="173"/>
      <c r="AB89" s="41" t="s">
        <v>15</v>
      </c>
      <c r="AC89" s="67" t="s">
        <v>15</v>
      </c>
      <c r="AD89" s="187"/>
      <c r="AE89" s="173"/>
      <c r="AF89" s="225"/>
      <c r="AG89" s="215"/>
      <c r="AH89" s="187"/>
      <c r="AI89" s="137"/>
      <c r="AJ89" s="138"/>
    </row>
    <row r="90" spans="2:36" s="46" customFormat="1" ht="24.95" customHeight="1" outlineLevel="1" x14ac:dyDescent="0.3">
      <c r="B90" s="279">
        <v>2</v>
      </c>
      <c r="C90" s="143" t="s">
        <v>48</v>
      </c>
      <c r="D90" s="143" t="s">
        <v>82</v>
      </c>
      <c r="E90" s="145" t="s">
        <v>168</v>
      </c>
      <c r="F90" s="192" t="s">
        <v>50</v>
      </c>
      <c r="G90" s="193" t="s">
        <v>119</v>
      </c>
      <c r="H90" s="195" t="s">
        <v>23</v>
      </c>
      <c r="I90" s="146">
        <v>0.85</v>
      </c>
      <c r="J90" s="143">
        <v>8</v>
      </c>
      <c r="K90" s="143" t="s">
        <v>120</v>
      </c>
      <c r="L90" s="146">
        <v>0.84599999999999997</v>
      </c>
      <c r="M90" s="15">
        <v>0.82399999999999995</v>
      </c>
      <c r="N90" s="58">
        <v>0.85</v>
      </c>
      <c r="O90" s="92">
        <f>M90-N90</f>
        <v>-2.6000000000000023E-2</v>
      </c>
      <c r="P90" s="16">
        <v>8</v>
      </c>
      <c r="Q90" s="17" t="s">
        <v>186</v>
      </c>
      <c r="R90" s="18" t="s">
        <v>186</v>
      </c>
      <c r="S90" s="202" t="s">
        <v>15</v>
      </c>
      <c r="T90" s="202" t="s">
        <v>15</v>
      </c>
      <c r="U90" s="31" t="s">
        <v>15</v>
      </c>
      <c r="V90" s="150">
        <v>44</v>
      </c>
      <c r="W90" s="86">
        <v>42</v>
      </c>
      <c r="X90" s="87">
        <f t="shared" ref="X90" si="0">($V90/($AA90-$Z90))*($N91-$Z90)</f>
        <v>11.782426778242678</v>
      </c>
      <c r="Y90" s="88">
        <f t="shared" ref="Y90" si="1">IF((W90-X90)&lt;0,(X90-W90),(W90-X90))</f>
        <v>30.21757322175732</v>
      </c>
      <c r="Z90" s="170">
        <v>46041</v>
      </c>
      <c r="AA90" s="172">
        <v>46280</v>
      </c>
      <c r="AB90" s="66" t="s">
        <v>15</v>
      </c>
      <c r="AC90" s="66" t="s">
        <v>15</v>
      </c>
      <c r="AD90" s="172">
        <v>45677</v>
      </c>
      <c r="AE90" s="172">
        <v>46280</v>
      </c>
      <c r="AF90" s="129">
        <f ca="1">AA90-TODAY()</f>
        <v>175</v>
      </c>
      <c r="AG90" s="270" t="s">
        <v>220</v>
      </c>
      <c r="AH90" s="271"/>
      <c r="AI90" s="266"/>
      <c r="AJ90" s="267"/>
    </row>
    <row r="91" spans="2:36" s="46" customFormat="1" ht="24.95" customHeight="1" outlineLevel="1" x14ac:dyDescent="0.3">
      <c r="B91" s="280"/>
      <c r="C91" s="143"/>
      <c r="D91" s="143"/>
      <c r="E91" s="143"/>
      <c r="F91" s="143"/>
      <c r="G91" s="175"/>
      <c r="H91" s="177"/>
      <c r="I91" s="165"/>
      <c r="J91" s="173"/>
      <c r="K91" s="173"/>
      <c r="L91" s="165"/>
      <c r="M91" s="22" t="s">
        <v>243</v>
      </c>
      <c r="N91" s="23">
        <v>46105</v>
      </c>
      <c r="O91" s="24" t="str">
        <f>IF(O90&gt;0,"초과","미달")</f>
        <v>미달</v>
      </c>
      <c r="P91" s="60">
        <f>$P90/$J90</f>
        <v>1</v>
      </c>
      <c r="Q91" s="61" t="s">
        <v>186</v>
      </c>
      <c r="R91" s="61" t="s">
        <v>186</v>
      </c>
      <c r="S91" s="203"/>
      <c r="T91" s="203"/>
      <c r="U91" s="40" t="s">
        <v>15</v>
      </c>
      <c r="V91" s="169"/>
      <c r="W91" s="75">
        <f t="shared" ref="W91" si="2">$W90/$V90</f>
        <v>0.95454545454545459</v>
      </c>
      <c r="X91" s="75">
        <f t="shared" ref="X91" si="3">X90/V90</f>
        <v>0.26778242677824271</v>
      </c>
      <c r="Y91" s="25" t="str">
        <f t="shared" ref="Y91" si="4">IF((W90-X90)&lt;0,"미달","초과")</f>
        <v>초과</v>
      </c>
      <c r="Z91" s="171"/>
      <c r="AA91" s="173"/>
      <c r="AB91" s="41" t="s">
        <v>15</v>
      </c>
      <c r="AC91" s="72" t="str">
        <f>IFERROR(AC90-AB90,"-")</f>
        <v>-</v>
      </c>
      <c r="AD91" s="174"/>
      <c r="AE91" s="173"/>
      <c r="AF91" s="130"/>
      <c r="AG91" s="272"/>
      <c r="AH91" s="273"/>
      <c r="AI91" s="268"/>
      <c r="AJ91" s="269"/>
    </row>
    <row r="92" spans="2:36" s="46" customFormat="1" ht="24.95" customHeight="1" outlineLevel="1" x14ac:dyDescent="0.3">
      <c r="B92" s="280"/>
      <c r="C92" s="143"/>
      <c r="D92" s="143"/>
      <c r="E92" s="143"/>
      <c r="F92" s="143"/>
      <c r="G92" s="175"/>
      <c r="H92" s="139" t="s">
        <v>24</v>
      </c>
      <c r="I92" s="191">
        <v>0.61499999999999999</v>
      </c>
      <c r="J92" s="192">
        <v>15</v>
      </c>
      <c r="K92" s="192" t="s">
        <v>207</v>
      </c>
      <c r="L92" s="191">
        <v>0.56100000000000005</v>
      </c>
      <c r="M92" s="15">
        <v>0.64900000000000002</v>
      </c>
      <c r="N92" s="15">
        <v>0.56499999999999995</v>
      </c>
      <c r="O92" s="92">
        <f>M92-N92</f>
        <v>8.4000000000000075E-2</v>
      </c>
      <c r="P92" s="16">
        <v>15</v>
      </c>
      <c r="Q92" s="17" t="s">
        <v>186</v>
      </c>
      <c r="R92" s="18" t="s">
        <v>186</v>
      </c>
      <c r="S92" s="202" t="s">
        <v>15</v>
      </c>
      <c r="T92" s="202" t="s">
        <v>15</v>
      </c>
      <c r="U92" s="31" t="s">
        <v>15</v>
      </c>
      <c r="V92" s="150" t="s">
        <v>170</v>
      </c>
      <c r="W92" s="86" t="s">
        <v>170</v>
      </c>
      <c r="X92" s="87" t="s">
        <v>170</v>
      </c>
      <c r="Y92" s="88" t="s">
        <v>170</v>
      </c>
      <c r="Z92" s="170">
        <v>46041</v>
      </c>
      <c r="AA92" s="172">
        <v>46280</v>
      </c>
      <c r="AB92" s="66" t="s">
        <v>15</v>
      </c>
      <c r="AC92" s="66" t="s">
        <v>15</v>
      </c>
      <c r="AD92" s="172">
        <v>45677</v>
      </c>
      <c r="AE92" s="172">
        <v>46280</v>
      </c>
      <c r="AF92" s="182">
        <f ca="1">AA92-TODAY()</f>
        <v>175</v>
      </c>
      <c r="AG92" s="274"/>
      <c r="AH92" s="275"/>
      <c r="AI92" s="266"/>
      <c r="AJ92" s="267"/>
    </row>
    <row r="93" spans="2:36" s="46" customFormat="1" ht="24.95" customHeight="1" outlineLevel="1" x14ac:dyDescent="0.3">
      <c r="B93" s="281"/>
      <c r="C93" s="173"/>
      <c r="D93" s="173"/>
      <c r="E93" s="173"/>
      <c r="F93" s="173"/>
      <c r="G93" s="194"/>
      <c r="H93" s="177"/>
      <c r="I93" s="165"/>
      <c r="J93" s="173"/>
      <c r="K93" s="173"/>
      <c r="L93" s="165"/>
      <c r="M93" s="22" t="s">
        <v>243</v>
      </c>
      <c r="N93" s="23">
        <v>46105</v>
      </c>
      <c r="O93" s="24" t="str">
        <f>IF(O92&gt;0,"초과","미달")</f>
        <v>초과</v>
      </c>
      <c r="P93" s="60">
        <f>$P92/$J92</f>
        <v>1</v>
      </c>
      <c r="Q93" s="61" t="s">
        <v>186</v>
      </c>
      <c r="R93" s="61" t="s">
        <v>186</v>
      </c>
      <c r="S93" s="203"/>
      <c r="T93" s="203"/>
      <c r="U93" s="40" t="s">
        <v>15</v>
      </c>
      <c r="V93" s="169"/>
      <c r="W93" s="75" t="s">
        <v>170</v>
      </c>
      <c r="X93" s="75" t="s">
        <v>170</v>
      </c>
      <c r="Y93" s="25" t="s">
        <v>170</v>
      </c>
      <c r="Z93" s="171"/>
      <c r="AA93" s="173"/>
      <c r="AB93" s="41" t="s">
        <v>15</v>
      </c>
      <c r="AC93" s="72" t="str">
        <f>IFERROR(AC92-AB92,"-")</f>
        <v>-</v>
      </c>
      <c r="AD93" s="174"/>
      <c r="AE93" s="173"/>
      <c r="AF93" s="130"/>
      <c r="AG93" s="276"/>
      <c r="AH93" s="277"/>
      <c r="AI93" s="268"/>
      <c r="AJ93" s="269"/>
    </row>
    <row r="94" spans="2:36" s="46" customFormat="1" ht="24.95" customHeight="1" outlineLevel="1" x14ac:dyDescent="0.3">
      <c r="B94" s="279">
        <v>3</v>
      </c>
      <c r="C94" s="192" t="s">
        <v>224</v>
      </c>
      <c r="D94" s="192" t="s">
        <v>77</v>
      </c>
      <c r="E94" s="190" t="s">
        <v>168</v>
      </c>
      <c r="F94" s="192" t="s">
        <v>50</v>
      </c>
      <c r="G94" s="193" t="s">
        <v>110</v>
      </c>
      <c r="H94" s="195" t="s">
        <v>165</v>
      </c>
      <c r="I94" s="191">
        <v>0.83</v>
      </c>
      <c r="J94" s="192">
        <v>20</v>
      </c>
      <c r="K94" s="192" t="s">
        <v>166</v>
      </c>
      <c r="L94" s="191">
        <v>0.82599999999999996</v>
      </c>
      <c r="M94" s="15">
        <v>0.86099999999999999</v>
      </c>
      <c r="N94" s="15">
        <f>IF((((($I94-$L94)/($AD94-$Z94))*($N95-$Z94))+$L94)&gt;I94,$I94,((($I94-$L94)/($AD94-$Z94))*($N95-$Z94))+$L94)</f>
        <v>0.83</v>
      </c>
      <c r="O94" s="15">
        <f>M94-N94</f>
        <v>3.1000000000000028E-2</v>
      </c>
      <c r="P94" s="16">
        <v>18</v>
      </c>
      <c r="Q94" s="17" t="s">
        <v>167</v>
      </c>
      <c r="R94" s="18" t="s">
        <v>167</v>
      </c>
      <c r="S94" s="202" t="s">
        <v>15</v>
      </c>
      <c r="T94" s="202" t="s">
        <v>15</v>
      </c>
      <c r="U94" s="31" t="s">
        <v>15</v>
      </c>
      <c r="V94" s="150">
        <v>79</v>
      </c>
      <c r="W94" s="86">
        <v>67</v>
      </c>
      <c r="X94" s="87">
        <f>($V94/($AA94-$Z94))*($N95-$Z94)</f>
        <v>74.094531974050042</v>
      </c>
      <c r="Y94" s="88">
        <f>IF((W94-X94)&lt;0,(X94-W94),(W94-X94))</f>
        <v>7.0945319740500423</v>
      </c>
      <c r="Z94" s="152">
        <v>45093</v>
      </c>
      <c r="AA94" s="154">
        <v>46172</v>
      </c>
      <c r="AB94" s="66" t="s">
        <v>15</v>
      </c>
      <c r="AC94" s="66" t="s">
        <v>15</v>
      </c>
      <c r="AD94" s="154">
        <v>45824</v>
      </c>
      <c r="AE94" s="154">
        <v>46172</v>
      </c>
      <c r="AF94" s="182">
        <f ca="1">AA94-TODAY()</f>
        <v>67</v>
      </c>
      <c r="AG94" s="183" t="s">
        <v>239</v>
      </c>
      <c r="AH94" s="197"/>
      <c r="AI94" s="200"/>
      <c r="AJ94" s="201"/>
    </row>
    <row r="95" spans="2:36" s="46" customFormat="1" ht="24.95" customHeight="1" outlineLevel="1" x14ac:dyDescent="0.3">
      <c r="B95" s="280"/>
      <c r="C95" s="143"/>
      <c r="D95" s="143"/>
      <c r="E95" s="143"/>
      <c r="F95" s="143"/>
      <c r="G95" s="175"/>
      <c r="H95" s="177"/>
      <c r="I95" s="165"/>
      <c r="J95" s="173"/>
      <c r="K95" s="173"/>
      <c r="L95" s="165"/>
      <c r="M95" s="81" t="s">
        <v>243</v>
      </c>
      <c r="N95" s="23">
        <v>46105</v>
      </c>
      <c r="O95" s="24" t="str">
        <f>IF(O94&gt;0,"초과","미달")</f>
        <v>초과</v>
      </c>
      <c r="P95" s="60">
        <f>$P94/$J94</f>
        <v>0.9</v>
      </c>
      <c r="Q95" s="61" t="s">
        <v>167</v>
      </c>
      <c r="R95" s="61" t="s">
        <v>167</v>
      </c>
      <c r="S95" s="203"/>
      <c r="T95" s="203"/>
      <c r="U95" s="40" t="s">
        <v>15</v>
      </c>
      <c r="V95" s="169"/>
      <c r="W95" s="75">
        <f>$W94/$V94</f>
        <v>0.84810126582278478</v>
      </c>
      <c r="X95" s="75">
        <f>X94/V94</f>
        <v>0.93790546802594987</v>
      </c>
      <c r="Y95" s="25" t="str">
        <f>IF((W94-X94)&lt;0,"미달","초과")</f>
        <v>미달</v>
      </c>
      <c r="Z95" s="171"/>
      <c r="AA95" s="173"/>
      <c r="AB95" s="41" t="s">
        <v>15</v>
      </c>
      <c r="AC95" s="72" t="str">
        <f>IFERROR(AC94-AB94,"-")</f>
        <v>-</v>
      </c>
      <c r="AD95" s="173"/>
      <c r="AE95" s="173"/>
      <c r="AF95" s="130"/>
      <c r="AG95" s="198"/>
      <c r="AH95" s="199"/>
      <c r="AI95" s="188"/>
      <c r="AJ95" s="189"/>
    </row>
    <row r="96" spans="2:36" s="46" customFormat="1" ht="24.95" customHeight="1" outlineLevel="1" x14ac:dyDescent="0.3">
      <c r="B96" s="280"/>
      <c r="C96" s="143"/>
      <c r="D96" s="143"/>
      <c r="E96" s="143"/>
      <c r="F96" s="143"/>
      <c r="G96" s="175"/>
      <c r="H96" s="195" t="s">
        <v>23</v>
      </c>
      <c r="I96" s="196">
        <v>0.85</v>
      </c>
      <c r="J96" s="192">
        <v>13</v>
      </c>
      <c r="K96" s="190" t="s">
        <v>111</v>
      </c>
      <c r="L96" s="191">
        <v>0.86399999999999999</v>
      </c>
      <c r="M96" s="15">
        <v>0.86699999999999999</v>
      </c>
      <c r="N96" s="15">
        <f>IF((((($I96-$L96)/($AD96-$Z96))*($N97-$Z96))+$L96)&gt;0.85,$I96,((($I96-$L96)/($AD96-$Z96))*($N97-$Z96))+$L96)</f>
        <v>0.84461833105335149</v>
      </c>
      <c r="O96" s="15">
        <f>M96-N96</f>
        <v>2.2381668946648503E-2</v>
      </c>
      <c r="P96" s="16">
        <v>13</v>
      </c>
      <c r="Q96" s="17" t="s">
        <v>15</v>
      </c>
      <c r="R96" s="18" t="s">
        <v>15</v>
      </c>
      <c r="S96" s="148" t="s">
        <v>15</v>
      </c>
      <c r="T96" s="148" t="s">
        <v>15</v>
      </c>
      <c r="U96" s="19" t="s">
        <v>15</v>
      </c>
      <c r="V96" s="150" t="s">
        <v>167</v>
      </c>
      <c r="W96" s="86" t="s">
        <v>167</v>
      </c>
      <c r="X96" s="87" t="s">
        <v>167</v>
      </c>
      <c r="Y96" s="88" t="s">
        <v>167</v>
      </c>
      <c r="Z96" s="152">
        <v>45093</v>
      </c>
      <c r="AA96" s="154">
        <v>46172</v>
      </c>
      <c r="AB96" s="66" t="s">
        <v>104</v>
      </c>
      <c r="AC96" s="91" t="s">
        <v>104</v>
      </c>
      <c r="AD96" s="154">
        <v>45824</v>
      </c>
      <c r="AE96" s="154">
        <v>46172</v>
      </c>
      <c r="AF96" s="182">
        <f ca="1">AA96-TODAY()</f>
        <v>67</v>
      </c>
      <c r="AG96" s="183" t="s">
        <v>240</v>
      </c>
      <c r="AH96" s="184"/>
      <c r="AI96" s="200" t="s">
        <v>219</v>
      </c>
      <c r="AJ96" s="201"/>
    </row>
    <row r="97" spans="2:36" s="46" customFormat="1" ht="24.95" customHeight="1" outlineLevel="1" x14ac:dyDescent="0.3">
      <c r="B97" s="280"/>
      <c r="C97" s="143"/>
      <c r="D97" s="143"/>
      <c r="E97" s="143"/>
      <c r="F97" s="143"/>
      <c r="G97" s="175"/>
      <c r="H97" s="177"/>
      <c r="I97" s="178"/>
      <c r="J97" s="173"/>
      <c r="K97" s="164"/>
      <c r="L97" s="165"/>
      <c r="M97" s="81" t="s">
        <v>243</v>
      </c>
      <c r="N97" s="23">
        <v>46105</v>
      </c>
      <c r="O97" s="24" t="str">
        <f>IF(O96&gt;0,"초과","미달")</f>
        <v>초과</v>
      </c>
      <c r="P97" s="60">
        <f>$P96/$J96</f>
        <v>1</v>
      </c>
      <c r="Q97" s="61" t="s">
        <v>15</v>
      </c>
      <c r="R97" s="61" t="s">
        <v>15</v>
      </c>
      <c r="S97" s="167"/>
      <c r="T97" s="167"/>
      <c r="U97" s="25" t="s">
        <v>15</v>
      </c>
      <c r="V97" s="169"/>
      <c r="W97" s="75" t="s">
        <v>167</v>
      </c>
      <c r="X97" s="75" t="s">
        <v>167</v>
      </c>
      <c r="Y97" s="25" t="s">
        <v>167</v>
      </c>
      <c r="Z97" s="171"/>
      <c r="AA97" s="173"/>
      <c r="AB97" s="41" t="s">
        <v>15</v>
      </c>
      <c r="AC97" s="90" t="str">
        <f>IFERROR(AC96-AB96,"-")</f>
        <v>-</v>
      </c>
      <c r="AD97" s="173"/>
      <c r="AE97" s="173"/>
      <c r="AF97" s="130"/>
      <c r="AG97" s="133"/>
      <c r="AH97" s="134"/>
      <c r="AI97" s="188"/>
      <c r="AJ97" s="189"/>
    </row>
    <row r="98" spans="2:36" s="46" customFormat="1" ht="24.95" customHeight="1" outlineLevel="1" x14ac:dyDescent="0.3">
      <c r="B98" s="280"/>
      <c r="C98" s="143"/>
      <c r="D98" s="143"/>
      <c r="E98" s="143"/>
      <c r="F98" s="143"/>
      <c r="G98" s="175"/>
      <c r="H98" s="139" t="s">
        <v>24</v>
      </c>
      <c r="I98" s="141">
        <v>0.8</v>
      </c>
      <c r="J98" s="143">
        <v>7</v>
      </c>
      <c r="K98" s="190" t="s">
        <v>112</v>
      </c>
      <c r="L98" s="141">
        <v>0.66800000000000004</v>
      </c>
      <c r="M98" s="89">
        <v>0.85099999999999998</v>
      </c>
      <c r="N98" s="58">
        <f>IF((((($I98-$L98)/($AD98-$Z98))*($N99-$Z98))+$L98)&gt;I98,$I98,((($I98-$L98)/($AD98-$Z98))*($N99-$Z98))+$L98)</f>
        <v>0.8</v>
      </c>
      <c r="O98" s="58">
        <f>M98-N98</f>
        <v>5.0999999999999934E-2</v>
      </c>
      <c r="P98" s="30">
        <v>5</v>
      </c>
      <c r="Q98" s="28" t="s">
        <v>15</v>
      </c>
      <c r="R98" s="28" t="s">
        <v>15</v>
      </c>
      <c r="S98" s="202" t="s">
        <v>15</v>
      </c>
      <c r="T98" s="202" t="s">
        <v>15</v>
      </c>
      <c r="U98" s="31" t="s">
        <v>15</v>
      </c>
      <c r="V98" s="150" t="s">
        <v>167</v>
      </c>
      <c r="W98" s="86" t="s">
        <v>167</v>
      </c>
      <c r="X98" s="87" t="s">
        <v>167</v>
      </c>
      <c r="Y98" s="88" t="s">
        <v>167</v>
      </c>
      <c r="Z98" s="152">
        <v>45093</v>
      </c>
      <c r="AA98" s="154">
        <v>46172</v>
      </c>
      <c r="AB98" s="66" t="s">
        <v>104</v>
      </c>
      <c r="AC98" s="91" t="s">
        <v>104</v>
      </c>
      <c r="AD98" s="154">
        <v>45824</v>
      </c>
      <c r="AE98" s="154">
        <v>46172</v>
      </c>
      <c r="AF98" s="182">
        <f ca="1">AA98-TODAY()</f>
        <v>67</v>
      </c>
      <c r="AG98" s="183" t="s">
        <v>241</v>
      </c>
      <c r="AH98" s="197"/>
      <c r="AI98" s="135"/>
      <c r="AJ98" s="136"/>
    </row>
    <row r="99" spans="2:36" s="46" customFormat="1" ht="24.95" customHeight="1" outlineLevel="1" x14ac:dyDescent="0.3">
      <c r="B99" s="281"/>
      <c r="C99" s="173"/>
      <c r="D99" s="173"/>
      <c r="E99" s="173"/>
      <c r="F99" s="173"/>
      <c r="G99" s="194"/>
      <c r="H99" s="177"/>
      <c r="I99" s="178"/>
      <c r="J99" s="173"/>
      <c r="K99" s="164"/>
      <c r="L99" s="178"/>
      <c r="M99" s="81" t="s">
        <v>243</v>
      </c>
      <c r="N99" s="23">
        <v>46105</v>
      </c>
      <c r="O99" s="24" t="str">
        <f>IF(O98&gt;0,"초과","미달")</f>
        <v>초과</v>
      </c>
      <c r="P99" s="60">
        <f>$P98/$J98</f>
        <v>0.7142857142857143</v>
      </c>
      <c r="Q99" s="67" t="s">
        <v>15</v>
      </c>
      <c r="R99" s="67" t="s">
        <v>15</v>
      </c>
      <c r="S99" s="203"/>
      <c r="T99" s="203"/>
      <c r="U99" s="40" t="s">
        <v>15</v>
      </c>
      <c r="V99" s="169"/>
      <c r="W99" s="75" t="s">
        <v>167</v>
      </c>
      <c r="X99" s="75" t="s">
        <v>167</v>
      </c>
      <c r="Y99" s="25" t="s">
        <v>167</v>
      </c>
      <c r="Z99" s="171"/>
      <c r="AA99" s="173"/>
      <c r="AB99" s="41" t="s">
        <v>15</v>
      </c>
      <c r="AC99" s="90" t="str">
        <f>IFERROR(AC98-AB98,"-")</f>
        <v>-</v>
      </c>
      <c r="AD99" s="173"/>
      <c r="AE99" s="173"/>
      <c r="AF99" s="130"/>
      <c r="AG99" s="198"/>
      <c r="AH99" s="199"/>
      <c r="AI99" s="137"/>
      <c r="AJ99" s="138"/>
    </row>
    <row r="100" spans="2:36" s="46" customFormat="1" ht="24.95" customHeight="1" outlineLevel="1" x14ac:dyDescent="0.3">
      <c r="B100" s="286">
        <v>4</v>
      </c>
      <c r="C100" s="229" t="s">
        <v>61</v>
      </c>
      <c r="D100" s="229" t="s">
        <v>62</v>
      </c>
      <c r="E100" s="229" t="s">
        <v>126</v>
      </c>
      <c r="F100" s="229" t="s">
        <v>50</v>
      </c>
      <c r="G100" s="226" t="s">
        <v>127</v>
      </c>
      <c r="H100" s="195" t="s">
        <v>23</v>
      </c>
      <c r="I100" s="196">
        <v>0.7</v>
      </c>
      <c r="J100" s="192">
        <v>13</v>
      </c>
      <c r="K100" s="190" t="s">
        <v>128</v>
      </c>
      <c r="L100" s="191">
        <v>0.498</v>
      </c>
      <c r="M100" s="15">
        <v>0.59699999999999998</v>
      </c>
      <c r="N100" s="15">
        <f>IF((((($I100-$L100)/($AD100-$Z100))*($N101-$Z100))+$L100)&gt;0.85,$I100,((($I100-$L100)/($AD100-$Z100))*($N101-$Z100))+$L100)</f>
        <v>0.7</v>
      </c>
      <c r="O100" s="15">
        <f>M100-N100</f>
        <v>-0.10299999999999998</v>
      </c>
      <c r="P100" s="16">
        <v>9</v>
      </c>
      <c r="Q100" s="17" t="s">
        <v>15</v>
      </c>
      <c r="R100" s="18" t="s">
        <v>15</v>
      </c>
      <c r="S100" s="148" t="s">
        <v>15</v>
      </c>
      <c r="T100" s="148" t="s">
        <v>15</v>
      </c>
      <c r="U100" s="19" t="s">
        <v>15</v>
      </c>
      <c r="V100" s="205" t="s">
        <v>15</v>
      </c>
      <c r="W100" s="192" t="s">
        <v>15</v>
      </c>
      <c r="X100" s="20" t="s">
        <v>15</v>
      </c>
      <c r="Y100" s="21" t="s">
        <v>15</v>
      </c>
      <c r="Z100" s="152">
        <v>45456</v>
      </c>
      <c r="AA100" s="154">
        <v>46365</v>
      </c>
      <c r="AB100" s="68">
        <v>46036</v>
      </c>
      <c r="AC100" s="68">
        <v>46216</v>
      </c>
      <c r="AD100" s="154">
        <v>45457</v>
      </c>
      <c r="AE100" s="154">
        <v>46365</v>
      </c>
      <c r="AF100" s="182">
        <f ca="1">AA100-TODAY()</f>
        <v>260</v>
      </c>
      <c r="AG100" s="183" t="s">
        <v>199</v>
      </c>
      <c r="AH100" s="184"/>
      <c r="AI100" s="200" t="s">
        <v>200</v>
      </c>
      <c r="AJ100" s="201"/>
    </row>
    <row r="101" spans="2:36" s="46" customFormat="1" ht="24.95" customHeight="1" outlineLevel="1" x14ac:dyDescent="0.3">
      <c r="B101" s="287"/>
      <c r="C101" s="230"/>
      <c r="D101" s="230"/>
      <c r="E101" s="230"/>
      <c r="F101" s="230"/>
      <c r="G101" s="227"/>
      <c r="H101" s="177"/>
      <c r="I101" s="178"/>
      <c r="J101" s="173"/>
      <c r="K101" s="164"/>
      <c r="L101" s="165"/>
      <c r="M101" s="22" t="s">
        <v>189</v>
      </c>
      <c r="N101" s="23">
        <v>46105</v>
      </c>
      <c r="O101" s="24" t="str">
        <f>IF(O100&gt;0,"초과","미달")</f>
        <v>미달</v>
      </c>
      <c r="P101" s="60">
        <f>$P100/$J100</f>
        <v>0.69230769230769229</v>
      </c>
      <c r="Q101" s="61" t="s">
        <v>15</v>
      </c>
      <c r="R101" s="61" t="s">
        <v>15</v>
      </c>
      <c r="S101" s="167"/>
      <c r="T101" s="167"/>
      <c r="U101" s="25" t="s">
        <v>15</v>
      </c>
      <c r="V101" s="171"/>
      <c r="W101" s="173"/>
      <c r="X101" s="26" t="s">
        <v>15</v>
      </c>
      <c r="Y101" s="25" t="s">
        <v>15</v>
      </c>
      <c r="Z101" s="171"/>
      <c r="AA101" s="173"/>
      <c r="AB101" s="76" t="s">
        <v>102</v>
      </c>
      <c r="AC101" s="127">
        <f>AC100-AB100</f>
        <v>180</v>
      </c>
      <c r="AD101" s="174"/>
      <c r="AE101" s="173"/>
      <c r="AF101" s="130"/>
      <c r="AG101" s="133"/>
      <c r="AH101" s="134"/>
      <c r="AI101" s="188"/>
      <c r="AJ101" s="189"/>
    </row>
    <row r="102" spans="2:36" s="46" customFormat="1" ht="24.95" customHeight="1" outlineLevel="1" x14ac:dyDescent="0.3">
      <c r="B102" s="287"/>
      <c r="C102" s="230"/>
      <c r="D102" s="230"/>
      <c r="E102" s="230"/>
      <c r="F102" s="230"/>
      <c r="G102" s="227"/>
      <c r="H102" s="195" t="s">
        <v>24</v>
      </c>
      <c r="I102" s="196" t="s">
        <v>15</v>
      </c>
      <c r="J102" s="192" t="s">
        <v>15</v>
      </c>
      <c r="K102" s="192" t="s">
        <v>15</v>
      </c>
      <c r="L102" s="192" t="s">
        <v>15</v>
      </c>
      <c r="M102" s="27" t="s">
        <v>15</v>
      </c>
      <c r="N102" s="28" t="s">
        <v>15</v>
      </c>
      <c r="O102" s="29" t="s">
        <v>15</v>
      </c>
      <c r="P102" s="30" t="s">
        <v>15</v>
      </c>
      <c r="Q102" s="28" t="s">
        <v>15</v>
      </c>
      <c r="R102" s="28" t="s">
        <v>15</v>
      </c>
      <c r="S102" s="202" t="s">
        <v>15</v>
      </c>
      <c r="T102" s="202" t="s">
        <v>15</v>
      </c>
      <c r="U102" s="31" t="s">
        <v>15</v>
      </c>
      <c r="V102" s="205" t="s">
        <v>15</v>
      </c>
      <c r="W102" s="192" t="s">
        <v>15</v>
      </c>
      <c r="X102" s="27" t="s">
        <v>15</v>
      </c>
      <c r="Y102" s="32" t="s">
        <v>15</v>
      </c>
      <c r="Z102" s="205" t="s">
        <v>15</v>
      </c>
      <c r="AA102" s="192" t="s">
        <v>15</v>
      </c>
      <c r="AB102" s="71" t="s">
        <v>15</v>
      </c>
      <c r="AC102" s="71" t="s">
        <v>15</v>
      </c>
      <c r="AD102" s="192" t="s">
        <v>15</v>
      </c>
      <c r="AE102" s="192" t="s">
        <v>15</v>
      </c>
      <c r="AF102" s="206" t="s">
        <v>15</v>
      </c>
      <c r="AG102" s="208"/>
      <c r="AH102" s="209"/>
      <c r="AI102" s="185"/>
      <c r="AJ102" s="186"/>
    </row>
    <row r="103" spans="2:36" s="46" customFormat="1" ht="24.95" customHeight="1" outlineLevel="1" x14ac:dyDescent="0.3">
      <c r="B103" s="288"/>
      <c r="C103" s="231"/>
      <c r="D103" s="231"/>
      <c r="E103" s="231"/>
      <c r="F103" s="231"/>
      <c r="G103" s="228"/>
      <c r="H103" s="177"/>
      <c r="I103" s="178"/>
      <c r="J103" s="173"/>
      <c r="K103" s="173"/>
      <c r="L103" s="173"/>
      <c r="M103" s="81" t="s">
        <v>15</v>
      </c>
      <c r="N103" s="82" t="s">
        <v>15</v>
      </c>
      <c r="O103" s="83" t="s">
        <v>15</v>
      </c>
      <c r="P103" s="84" t="s">
        <v>15</v>
      </c>
      <c r="Q103" s="67" t="s">
        <v>15</v>
      </c>
      <c r="R103" s="67" t="s">
        <v>15</v>
      </c>
      <c r="S103" s="203"/>
      <c r="T103" s="203"/>
      <c r="U103" s="40" t="s">
        <v>15</v>
      </c>
      <c r="V103" s="171"/>
      <c r="W103" s="173"/>
      <c r="X103" s="41" t="s">
        <v>15</v>
      </c>
      <c r="Y103" s="40" t="s">
        <v>15</v>
      </c>
      <c r="Z103" s="171"/>
      <c r="AA103" s="173"/>
      <c r="AB103" s="41" t="s">
        <v>15</v>
      </c>
      <c r="AC103" s="67" t="s">
        <v>15</v>
      </c>
      <c r="AD103" s="173"/>
      <c r="AE103" s="173"/>
      <c r="AF103" s="225"/>
      <c r="AG103" s="215"/>
      <c r="AH103" s="187"/>
      <c r="AI103" s="137"/>
      <c r="AJ103" s="138"/>
    </row>
    <row r="104" spans="2:36" ht="23.25" outlineLevel="1" x14ac:dyDescent="0.3">
      <c r="B104" s="280">
        <v>5</v>
      </c>
      <c r="C104" s="143" t="s">
        <v>61</v>
      </c>
      <c r="D104" s="143" t="s">
        <v>66</v>
      </c>
      <c r="E104" s="143" t="s">
        <v>126</v>
      </c>
      <c r="F104" s="143" t="s">
        <v>50</v>
      </c>
      <c r="G104" s="175" t="s">
        <v>163</v>
      </c>
      <c r="H104" s="139" t="s">
        <v>23</v>
      </c>
      <c r="I104" s="141">
        <v>0.85</v>
      </c>
      <c r="J104" s="143">
        <v>5</v>
      </c>
      <c r="K104" s="145" t="s">
        <v>164</v>
      </c>
      <c r="L104" s="146">
        <v>0.85</v>
      </c>
      <c r="M104" s="58">
        <v>0.84699999999999998</v>
      </c>
      <c r="N104" s="58">
        <f>IF((((($I104-$L104)/($AD104-$Z104))*($N105-$Z104))+$L104)&gt;0.85,$I104,((($I104-$L104)/($AD104-$Z104))*($N105-$Z104))+$L104)</f>
        <v>0.85</v>
      </c>
      <c r="O104" s="58">
        <f>M104-N104</f>
        <v>-3.0000000000000027E-3</v>
      </c>
      <c r="P104" s="30">
        <v>5</v>
      </c>
      <c r="Q104" s="59" t="s">
        <v>15</v>
      </c>
      <c r="R104" s="73" t="s">
        <v>15</v>
      </c>
      <c r="S104" s="166" t="s">
        <v>15</v>
      </c>
      <c r="T104" s="166" t="s">
        <v>15</v>
      </c>
      <c r="U104" s="31" t="s">
        <v>15</v>
      </c>
      <c r="V104" s="181">
        <v>70</v>
      </c>
      <c r="W104" s="79">
        <v>111</v>
      </c>
      <c r="X104" s="77">
        <f>($V104/($AA104-$Z104))*($N105-$Z104)</f>
        <v>60.658016682113065</v>
      </c>
      <c r="Y104" s="78">
        <f>IF((W104-X104)&lt;0,(X104-W104),(W104-X104))</f>
        <v>50.341983317886935</v>
      </c>
      <c r="Z104" s="170">
        <v>45170</v>
      </c>
      <c r="AA104" s="172">
        <v>46249</v>
      </c>
      <c r="AB104" s="74" t="s">
        <v>148</v>
      </c>
      <c r="AC104" s="74" t="s">
        <v>148</v>
      </c>
      <c r="AD104" s="172">
        <v>45171</v>
      </c>
      <c r="AE104" s="172">
        <v>46249</v>
      </c>
      <c r="AF104" s="129">
        <f ca="1">AA104-TODAY()</f>
        <v>144</v>
      </c>
      <c r="AG104" s="183" t="s">
        <v>238</v>
      </c>
      <c r="AH104" s="184"/>
      <c r="AI104" s="160" t="s">
        <v>236</v>
      </c>
      <c r="AJ104" s="161"/>
    </row>
    <row r="105" spans="2:36" ht="23.25" outlineLevel="1" x14ac:dyDescent="0.3">
      <c r="B105" s="280"/>
      <c r="C105" s="143"/>
      <c r="D105" s="143"/>
      <c r="E105" s="143"/>
      <c r="F105" s="143"/>
      <c r="G105" s="175"/>
      <c r="H105" s="177"/>
      <c r="I105" s="178"/>
      <c r="J105" s="173"/>
      <c r="K105" s="164"/>
      <c r="L105" s="165"/>
      <c r="M105" s="22" t="s">
        <v>213</v>
      </c>
      <c r="N105" s="23">
        <v>46105</v>
      </c>
      <c r="O105" s="24" t="str">
        <f>IF(O104&gt;0,"초과","미달")</f>
        <v>미달</v>
      </c>
      <c r="P105" s="60">
        <f>$P104/$J104</f>
        <v>1</v>
      </c>
      <c r="Q105" s="61" t="s">
        <v>15</v>
      </c>
      <c r="R105" s="61" t="s">
        <v>15</v>
      </c>
      <c r="S105" s="167"/>
      <c r="T105" s="167"/>
      <c r="U105" s="25" t="s">
        <v>15</v>
      </c>
      <c r="V105" s="171"/>
      <c r="W105" s="75">
        <f>$W104/$V104</f>
        <v>1.5857142857142856</v>
      </c>
      <c r="X105" s="75">
        <f>X104/V104</f>
        <v>0.86654309545875807</v>
      </c>
      <c r="Y105" s="25" t="str">
        <f>IF((W104-X104)&lt;0,"미달","초과")</f>
        <v>초과</v>
      </c>
      <c r="Z105" s="171"/>
      <c r="AA105" s="173"/>
      <c r="AB105" s="41" t="s">
        <v>15</v>
      </c>
      <c r="AC105" s="72" t="s">
        <v>148</v>
      </c>
      <c r="AD105" s="174"/>
      <c r="AE105" s="173"/>
      <c r="AF105" s="130"/>
      <c r="AG105" s="133"/>
      <c r="AH105" s="134"/>
      <c r="AI105" s="188"/>
      <c r="AJ105" s="189"/>
    </row>
    <row r="106" spans="2:36" ht="23.25" outlineLevel="1" x14ac:dyDescent="0.3">
      <c r="B106" s="280"/>
      <c r="C106" s="143"/>
      <c r="D106" s="143"/>
      <c r="E106" s="143"/>
      <c r="F106" s="143"/>
      <c r="G106" s="175"/>
      <c r="H106" s="195" t="s">
        <v>24</v>
      </c>
      <c r="I106" s="196" t="s">
        <v>15</v>
      </c>
      <c r="J106" s="192" t="s">
        <v>15</v>
      </c>
      <c r="K106" s="192" t="s">
        <v>15</v>
      </c>
      <c r="L106" s="192" t="s">
        <v>15</v>
      </c>
      <c r="M106" s="27" t="s">
        <v>15</v>
      </c>
      <c r="N106" s="28" t="s">
        <v>15</v>
      </c>
      <c r="O106" s="29" t="s">
        <v>15</v>
      </c>
      <c r="P106" s="30" t="s">
        <v>15</v>
      </c>
      <c r="Q106" s="28" t="s">
        <v>15</v>
      </c>
      <c r="R106" s="28" t="s">
        <v>15</v>
      </c>
      <c r="S106" s="202" t="s">
        <v>15</v>
      </c>
      <c r="T106" s="202" t="s">
        <v>15</v>
      </c>
      <c r="U106" s="31" t="s">
        <v>15</v>
      </c>
      <c r="V106" s="205" t="s">
        <v>15</v>
      </c>
      <c r="W106" s="192" t="s">
        <v>15</v>
      </c>
      <c r="X106" s="27" t="s">
        <v>15</v>
      </c>
      <c r="Y106" s="32" t="s">
        <v>15</v>
      </c>
      <c r="Z106" s="205" t="s">
        <v>15</v>
      </c>
      <c r="AA106" s="192" t="s">
        <v>15</v>
      </c>
      <c r="AB106" s="71" t="s">
        <v>15</v>
      </c>
      <c r="AC106" s="71" t="s">
        <v>15</v>
      </c>
      <c r="AD106" s="192" t="s">
        <v>15</v>
      </c>
      <c r="AE106" s="192" t="s">
        <v>15</v>
      </c>
      <c r="AF106" s="206" t="s">
        <v>15</v>
      </c>
      <c r="AG106" s="208"/>
      <c r="AH106" s="209"/>
      <c r="AI106" s="185"/>
      <c r="AJ106" s="186"/>
    </row>
    <row r="107" spans="2:36" ht="24" outlineLevel="1" thickBot="1" x14ac:dyDescent="0.35">
      <c r="B107" s="282"/>
      <c r="C107" s="144"/>
      <c r="D107" s="144"/>
      <c r="E107" s="144"/>
      <c r="F107" s="144"/>
      <c r="G107" s="176"/>
      <c r="H107" s="140"/>
      <c r="I107" s="142"/>
      <c r="J107" s="144"/>
      <c r="K107" s="144"/>
      <c r="L107" s="144"/>
      <c r="M107" s="33" t="s">
        <v>15</v>
      </c>
      <c r="N107" s="62" t="s">
        <v>15</v>
      </c>
      <c r="O107" s="63" t="s">
        <v>15</v>
      </c>
      <c r="P107" s="34" t="s">
        <v>15</v>
      </c>
      <c r="Q107" s="35" t="s">
        <v>15</v>
      </c>
      <c r="R107" s="35" t="s">
        <v>15</v>
      </c>
      <c r="S107" s="204"/>
      <c r="T107" s="204"/>
      <c r="U107" s="36" t="s">
        <v>15</v>
      </c>
      <c r="V107" s="153"/>
      <c r="W107" s="144"/>
      <c r="X107" s="37" t="s">
        <v>15</v>
      </c>
      <c r="Y107" s="36" t="s">
        <v>15</v>
      </c>
      <c r="Z107" s="153"/>
      <c r="AA107" s="144"/>
      <c r="AB107" s="37" t="s">
        <v>15</v>
      </c>
      <c r="AC107" s="35" t="s">
        <v>15</v>
      </c>
      <c r="AD107" s="144"/>
      <c r="AE107" s="144"/>
      <c r="AF107" s="207"/>
      <c r="AG107" s="210"/>
      <c r="AH107" s="156"/>
      <c r="AI107" s="211"/>
      <c r="AJ107" s="212"/>
    </row>
  </sheetData>
  <autoFilter ref="B5:AJ107" xr:uid="{771B0562-5677-4BBE-BBAE-54EF0A4DC3F7}">
    <filterColumn colId="31" showButton="0"/>
    <filterColumn colId="33" showButton="0"/>
  </autoFilter>
  <mergeCells count="946">
    <mergeCell ref="AG52:AH53"/>
    <mergeCell ref="AI52:AJ53"/>
    <mergeCell ref="K52:K53"/>
    <mergeCell ref="L52:L53"/>
    <mergeCell ref="S52:S53"/>
    <mergeCell ref="T52:T53"/>
    <mergeCell ref="V52:V53"/>
    <mergeCell ref="W52:W53"/>
    <mergeCell ref="Z52:Z53"/>
    <mergeCell ref="AA52:AA53"/>
    <mergeCell ref="AD52:AD53"/>
    <mergeCell ref="D52:D53"/>
    <mergeCell ref="E52:E53"/>
    <mergeCell ref="F52:F53"/>
    <mergeCell ref="G52:G53"/>
    <mergeCell ref="H52:H53"/>
    <mergeCell ref="I52:I53"/>
    <mergeCell ref="J52:J53"/>
    <mergeCell ref="AE52:AE53"/>
    <mergeCell ref="AF52:AF53"/>
    <mergeCell ref="AF65:AF66"/>
    <mergeCell ref="AG65:AH66"/>
    <mergeCell ref="AI65:AJ66"/>
    <mergeCell ref="H67:H68"/>
    <mergeCell ref="I67:I68"/>
    <mergeCell ref="J67:J68"/>
    <mergeCell ref="K67:K68"/>
    <mergeCell ref="L67:L68"/>
    <mergeCell ref="S67:S68"/>
    <mergeCell ref="T67:T68"/>
    <mergeCell ref="V67:V68"/>
    <mergeCell ref="Z67:Z68"/>
    <mergeCell ref="AA67:AA68"/>
    <mergeCell ref="AD67:AD68"/>
    <mergeCell ref="AE67:AE68"/>
    <mergeCell ref="AF67:AF68"/>
    <mergeCell ref="AG67:AH68"/>
    <mergeCell ref="AI67:AJ68"/>
    <mergeCell ref="N65:N66"/>
    <mergeCell ref="O65:O66"/>
    <mergeCell ref="N67:N68"/>
    <mergeCell ref="O67:O68"/>
    <mergeCell ref="W65:W66"/>
    <mergeCell ref="K65:K66"/>
    <mergeCell ref="AE65:AE66"/>
    <mergeCell ref="B65:B68"/>
    <mergeCell ref="C65:C68"/>
    <mergeCell ref="D65:D68"/>
    <mergeCell ref="E65:E68"/>
    <mergeCell ref="F65:F68"/>
    <mergeCell ref="G65:G68"/>
    <mergeCell ref="H65:H66"/>
    <mergeCell ref="I65:I66"/>
    <mergeCell ref="J65:J66"/>
    <mergeCell ref="AI90:AJ91"/>
    <mergeCell ref="AI92:AJ93"/>
    <mergeCell ref="AG90:AH91"/>
    <mergeCell ref="AG92:AH93"/>
    <mergeCell ref="V90:V91"/>
    <mergeCell ref="V92:V93"/>
    <mergeCell ref="K90:K91"/>
    <mergeCell ref="L90:L91"/>
    <mergeCell ref="Z90:Z91"/>
    <mergeCell ref="AA90:AA91"/>
    <mergeCell ref="AD90:AD91"/>
    <mergeCell ref="AE90:AE91"/>
    <mergeCell ref="AF90:AF91"/>
    <mergeCell ref="K92:K93"/>
    <mergeCell ref="L92:L93"/>
    <mergeCell ref="Z92:Z93"/>
    <mergeCell ref="AA92:AA93"/>
    <mergeCell ref="AD92:AD93"/>
    <mergeCell ref="AE92:AE93"/>
    <mergeCell ref="AF92:AF93"/>
    <mergeCell ref="S90:S91"/>
    <mergeCell ref="T90:T91"/>
    <mergeCell ref="S92:S93"/>
    <mergeCell ref="T92:T93"/>
    <mergeCell ref="B90:B93"/>
    <mergeCell ref="C90:C93"/>
    <mergeCell ref="D90:D93"/>
    <mergeCell ref="E90:E93"/>
    <mergeCell ref="F90:F93"/>
    <mergeCell ref="G90:G93"/>
    <mergeCell ref="H90:H91"/>
    <mergeCell ref="I90:I91"/>
    <mergeCell ref="J90:J91"/>
    <mergeCell ref="H92:H93"/>
    <mergeCell ref="I92:I93"/>
    <mergeCell ref="J92:J93"/>
    <mergeCell ref="AE86:AE87"/>
    <mergeCell ref="AF86:AF87"/>
    <mergeCell ref="AG86:AH87"/>
    <mergeCell ref="AI86:AJ87"/>
    <mergeCell ref="H88:H89"/>
    <mergeCell ref="I88:I89"/>
    <mergeCell ref="J88:J89"/>
    <mergeCell ref="K88:K89"/>
    <mergeCell ref="L88:L89"/>
    <mergeCell ref="S88:S89"/>
    <mergeCell ref="T88:T89"/>
    <mergeCell ref="V88:V89"/>
    <mergeCell ref="W88:W89"/>
    <mergeCell ref="Z88:Z89"/>
    <mergeCell ref="AA88:AA89"/>
    <mergeCell ref="AD88:AD89"/>
    <mergeCell ref="AE88:AE89"/>
    <mergeCell ref="AF88:AF89"/>
    <mergeCell ref="AG88:AH89"/>
    <mergeCell ref="AI88:AJ89"/>
    <mergeCell ref="K86:K87"/>
    <mergeCell ref="L86:L87"/>
    <mergeCell ref="S86:S87"/>
    <mergeCell ref="T86:T87"/>
    <mergeCell ref="T7:T8"/>
    <mergeCell ref="T9:T10"/>
    <mergeCell ref="V86:V87"/>
    <mergeCell ref="Z86:Z87"/>
    <mergeCell ref="AA86:AA87"/>
    <mergeCell ref="AD86:AD87"/>
    <mergeCell ref="B86:B89"/>
    <mergeCell ref="C86:C89"/>
    <mergeCell ref="D86:D89"/>
    <mergeCell ref="E86:E89"/>
    <mergeCell ref="F86:F89"/>
    <mergeCell ref="G86:G89"/>
    <mergeCell ref="H86:H87"/>
    <mergeCell ref="I86:I87"/>
    <mergeCell ref="J86:J87"/>
    <mergeCell ref="L65:L66"/>
    <mergeCell ref="S65:S66"/>
    <mergeCell ref="T65:T66"/>
    <mergeCell ref="V65:V66"/>
    <mergeCell ref="Z65:Z66"/>
    <mergeCell ref="AA65:AA66"/>
    <mergeCell ref="AD65:AD66"/>
    <mergeCell ref="B52:B53"/>
    <mergeCell ref="C52:C53"/>
    <mergeCell ref="K28:K29"/>
    <mergeCell ref="L28:L29"/>
    <mergeCell ref="S28:S29"/>
    <mergeCell ref="B2:AJ2"/>
    <mergeCell ref="B6:AJ6"/>
    <mergeCell ref="B23:AJ23"/>
    <mergeCell ref="B3:AJ3"/>
    <mergeCell ref="AE28:AE29"/>
    <mergeCell ref="AF28:AF29"/>
    <mergeCell ref="AG28:AH29"/>
    <mergeCell ref="AI28:AJ29"/>
    <mergeCell ref="V28:V29"/>
    <mergeCell ref="Z28:Z29"/>
    <mergeCell ref="AA28:AA29"/>
    <mergeCell ref="AD28:AD29"/>
    <mergeCell ref="S26:S27"/>
    <mergeCell ref="AF24:AF25"/>
    <mergeCell ref="S24:S25"/>
    <mergeCell ref="V26:V27"/>
    <mergeCell ref="Z26:Z27"/>
    <mergeCell ref="AA26:AA27"/>
    <mergeCell ref="AD26:AD27"/>
    <mergeCell ref="H26:H27"/>
    <mergeCell ref="I26:I27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AG59:AH60"/>
    <mergeCell ref="S59:S60"/>
    <mergeCell ref="AD57:AD58"/>
    <mergeCell ref="AE57:AE58"/>
    <mergeCell ref="AF57:AF58"/>
    <mergeCell ref="AG57:AH58"/>
    <mergeCell ref="V57:V58"/>
    <mergeCell ref="W57:W58"/>
    <mergeCell ref="Z57:Z58"/>
    <mergeCell ref="AA57:AA58"/>
    <mergeCell ref="S57:S58"/>
    <mergeCell ref="L59:L60"/>
    <mergeCell ref="V59:V60"/>
    <mergeCell ref="W59:W60"/>
    <mergeCell ref="Z59:Z60"/>
    <mergeCell ref="T59:T60"/>
    <mergeCell ref="AA59:AA60"/>
    <mergeCell ref="AD59:AD60"/>
    <mergeCell ref="AE59:AE60"/>
    <mergeCell ref="AF59:AF60"/>
    <mergeCell ref="AE24:AE25"/>
    <mergeCell ref="AG24:AH25"/>
    <mergeCell ref="AI24:AJ25"/>
    <mergeCell ref="AE26:AE27"/>
    <mergeCell ref="AF26:AF27"/>
    <mergeCell ref="S7:S8"/>
    <mergeCell ref="S9:S10"/>
    <mergeCell ref="AI59:AJ60"/>
    <mergeCell ref="B57:B58"/>
    <mergeCell ref="C57:C58"/>
    <mergeCell ref="D57:D58"/>
    <mergeCell ref="E57:E58"/>
    <mergeCell ref="F57:F58"/>
    <mergeCell ref="G57:G58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K59:K60"/>
    <mergeCell ref="B24:B27"/>
    <mergeCell ref="C24:C27"/>
    <mergeCell ref="D24:D27"/>
    <mergeCell ref="E24:E27"/>
    <mergeCell ref="F24:F27"/>
    <mergeCell ref="G24:G27"/>
    <mergeCell ref="Z24:Z25"/>
    <mergeCell ref="AA24:AA25"/>
    <mergeCell ref="T24:T25"/>
    <mergeCell ref="T26:T27"/>
    <mergeCell ref="V24:V25"/>
    <mergeCell ref="W24:W25"/>
    <mergeCell ref="J26:J27"/>
    <mergeCell ref="H57:H58"/>
    <mergeCell ref="I57:I58"/>
    <mergeCell ref="J57:J58"/>
    <mergeCell ref="K57:K58"/>
    <mergeCell ref="Z9:Z10"/>
    <mergeCell ref="AA9:AA10"/>
    <mergeCell ref="AD9:AD10"/>
    <mergeCell ref="T57:T58"/>
    <mergeCell ref="AD24:AD25"/>
    <mergeCell ref="K26:K27"/>
    <mergeCell ref="L26:L27"/>
    <mergeCell ref="H24:H25"/>
    <mergeCell ref="I24:I25"/>
    <mergeCell ref="J24:J25"/>
    <mergeCell ref="K24:K25"/>
    <mergeCell ref="L24:L25"/>
    <mergeCell ref="T28:T29"/>
    <mergeCell ref="B56:AJ56"/>
    <mergeCell ref="V9:V10"/>
    <mergeCell ref="W9:W10"/>
    <mergeCell ref="AI57:AJ58"/>
    <mergeCell ref="L57:L58"/>
    <mergeCell ref="AG26:AH27"/>
    <mergeCell ref="AI26:AJ27"/>
    <mergeCell ref="Z7:Z8"/>
    <mergeCell ref="AA7:AA8"/>
    <mergeCell ref="V7:V8"/>
    <mergeCell ref="W7:W8"/>
    <mergeCell ref="AG7:AH8"/>
    <mergeCell ref="AI7:AJ8"/>
    <mergeCell ref="AG9:AH10"/>
    <mergeCell ref="AI9:AJ10"/>
    <mergeCell ref="AD7:AD8"/>
    <mergeCell ref="AE7:AE8"/>
    <mergeCell ref="AF7:AF8"/>
    <mergeCell ref="AE9:AE10"/>
    <mergeCell ref="AF9:AF10"/>
    <mergeCell ref="K7:K8"/>
    <mergeCell ref="K9:K10"/>
    <mergeCell ref="L7:L8"/>
    <mergeCell ref="L9:L10"/>
    <mergeCell ref="B7:B10"/>
    <mergeCell ref="C7:C10"/>
    <mergeCell ref="D7:D10"/>
    <mergeCell ref="E7:E10"/>
    <mergeCell ref="F7:F10"/>
    <mergeCell ref="G7:G10"/>
    <mergeCell ref="H7:H8"/>
    <mergeCell ref="H9:H10"/>
    <mergeCell ref="I7:I8"/>
    <mergeCell ref="I9:I10"/>
    <mergeCell ref="J7:J8"/>
    <mergeCell ref="J9:J10"/>
    <mergeCell ref="G4:G5"/>
    <mergeCell ref="P4:U4"/>
    <mergeCell ref="V4:Y4"/>
    <mergeCell ref="Z4:AF4"/>
    <mergeCell ref="AG4:AH5"/>
    <mergeCell ref="AI4:AJ5"/>
    <mergeCell ref="H4:O4"/>
    <mergeCell ref="B4:B5"/>
    <mergeCell ref="C4:C5"/>
    <mergeCell ref="D4:D5"/>
    <mergeCell ref="E4:E5"/>
    <mergeCell ref="F4:F5"/>
    <mergeCell ref="V61:V62"/>
    <mergeCell ref="Z61:Z62"/>
    <mergeCell ref="AA61:AA62"/>
    <mergeCell ref="AD61:AD62"/>
    <mergeCell ref="B61:B64"/>
    <mergeCell ref="C61:C64"/>
    <mergeCell ref="D61:D64"/>
    <mergeCell ref="E61:E64"/>
    <mergeCell ref="F61:F64"/>
    <mergeCell ref="G61:G64"/>
    <mergeCell ref="H61:H62"/>
    <mergeCell ref="I61:I62"/>
    <mergeCell ref="J61:J62"/>
    <mergeCell ref="AE61:AE62"/>
    <mergeCell ref="AF61:AF62"/>
    <mergeCell ref="AG61:AH62"/>
    <mergeCell ref="AI61:AJ62"/>
    <mergeCell ref="H63:H64"/>
    <mergeCell ref="I63:I64"/>
    <mergeCell ref="J63:J64"/>
    <mergeCell ref="K63:K64"/>
    <mergeCell ref="L63:L64"/>
    <mergeCell ref="S63:S64"/>
    <mergeCell ref="T63:T64"/>
    <mergeCell ref="V63:V64"/>
    <mergeCell ref="W63:W64"/>
    <mergeCell ref="Z63:Z64"/>
    <mergeCell ref="AA63:AA64"/>
    <mergeCell ref="AD63:AD64"/>
    <mergeCell ref="AE63:AE64"/>
    <mergeCell ref="AF63:AF64"/>
    <mergeCell ref="AG63:AH64"/>
    <mergeCell ref="AI63:AJ64"/>
    <mergeCell ref="K61:K62"/>
    <mergeCell ref="L61:L62"/>
    <mergeCell ref="S61:S62"/>
    <mergeCell ref="T61:T62"/>
    <mergeCell ref="S34:S35"/>
    <mergeCell ref="T34:T35"/>
    <mergeCell ref="V34:V35"/>
    <mergeCell ref="Z34:Z35"/>
    <mergeCell ref="AA34:AA35"/>
    <mergeCell ref="AD34:AD35"/>
    <mergeCell ref="B34:B37"/>
    <mergeCell ref="C34:C37"/>
    <mergeCell ref="D34:D37"/>
    <mergeCell ref="E34:E37"/>
    <mergeCell ref="F34:F37"/>
    <mergeCell ref="G34:G37"/>
    <mergeCell ref="H34:H35"/>
    <mergeCell ref="I34:I35"/>
    <mergeCell ref="J34:J35"/>
    <mergeCell ref="B30:B33"/>
    <mergeCell ref="C30:C33"/>
    <mergeCell ref="AE34:AE35"/>
    <mergeCell ref="AF34:AF35"/>
    <mergeCell ref="AG34:AH35"/>
    <mergeCell ref="AI34:AJ35"/>
    <mergeCell ref="H36:H37"/>
    <mergeCell ref="I36:I37"/>
    <mergeCell ref="J36:J37"/>
    <mergeCell ref="K36:K37"/>
    <mergeCell ref="L36:L37"/>
    <mergeCell ref="S36:S37"/>
    <mergeCell ref="T36:T37"/>
    <mergeCell ref="V36:V37"/>
    <mergeCell ref="W36:W37"/>
    <mergeCell ref="Z36:Z37"/>
    <mergeCell ref="AA36:AA37"/>
    <mergeCell ref="AD36:AD37"/>
    <mergeCell ref="AE36:AE37"/>
    <mergeCell ref="AF36:AF37"/>
    <mergeCell ref="AG36:AH37"/>
    <mergeCell ref="AI36:AJ37"/>
    <mergeCell ref="K34:K35"/>
    <mergeCell ref="L34:L35"/>
    <mergeCell ref="D30:D33"/>
    <mergeCell ref="E30:E33"/>
    <mergeCell ref="F30:F33"/>
    <mergeCell ref="G30:G33"/>
    <mergeCell ref="H30:H31"/>
    <mergeCell ref="I30:I31"/>
    <mergeCell ref="J30:J31"/>
    <mergeCell ref="AE30:AE31"/>
    <mergeCell ref="AF30:AF31"/>
    <mergeCell ref="V30:V31"/>
    <mergeCell ref="W30:W31"/>
    <mergeCell ref="Z30:Z31"/>
    <mergeCell ref="AA30:AA31"/>
    <mergeCell ref="AD30:AD31"/>
    <mergeCell ref="AG30:AH31"/>
    <mergeCell ref="AI30:AJ31"/>
    <mergeCell ref="H32:H33"/>
    <mergeCell ref="I32:I33"/>
    <mergeCell ref="J32:J33"/>
    <mergeCell ref="K32:K33"/>
    <mergeCell ref="L32:L33"/>
    <mergeCell ref="S32:S33"/>
    <mergeCell ref="T32:T33"/>
    <mergeCell ref="V32:V33"/>
    <mergeCell ref="W32:W33"/>
    <mergeCell ref="Z32:Z33"/>
    <mergeCell ref="AA32:AA33"/>
    <mergeCell ref="AD32:AD33"/>
    <mergeCell ref="AE32:AE33"/>
    <mergeCell ref="AF32:AF33"/>
    <mergeCell ref="AG32:AH33"/>
    <mergeCell ref="AI32:AJ33"/>
    <mergeCell ref="K30:K31"/>
    <mergeCell ref="L30:L31"/>
    <mergeCell ref="S30:S31"/>
    <mergeCell ref="T30:T31"/>
    <mergeCell ref="H96:H97"/>
    <mergeCell ref="I96:I97"/>
    <mergeCell ref="J96:J97"/>
    <mergeCell ref="B94:B99"/>
    <mergeCell ref="C94:C99"/>
    <mergeCell ref="D94:D99"/>
    <mergeCell ref="E94:E99"/>
    <mergeCell ref="F94:F99"/>
    <mergeCell ref="G94:G99"/>
    <mergeCell ref="H94:H95"/>
    <mergeCell ref="I94:I95"/>
    <mergeCell ref="J94:J95"/>
    <mergeCell ref="AG96:AH97"/>
    <mergeCell ref="AI96:AJ97"/>
    <mergeCell ref="H98:H99"/>
    <mergeCell ref="I98:I99"/>
    <mergeCell ref="J98:J99"/>
    <mergeCell ref="K98:K99"/>
    <mergeCell ref="L98:L99"/>
    <mergeCell ref="S98:S99"/>
    <mergeCell ref="T98:T99"/>
    <mergeCell ref="V98:V99"/>
    <mergeCell ref="Z98:Z99"/>
    <mergeCell ref="AA98:AA99"/>
    <mergeCell ref="AD98:AD99"/>
    <mergeCell ref="AE98:AE99"/>
    <mergeCell ref="AF98:AF99"/>
    <mergeCell ref="AG98:AH99"/>
    <mergeCell ref="AI98:AJ99"/>
    <mergeCell ref="K96:K97"/>
    <mergeCell ref="L96:L97"/>
    <mergeCell ref="S96:S97"/>
    <mergeCell ref="T96:T97"/>
    <mergeCell ref="V96:V97"/>
    <mergeCell ref="Z96:Z97"/>
    <mergeCell ref="AA96:AA97"/>
    <mergeCell ref="V11:V12"/>
    <mergeCell ref="Z11:Z12"/>
    <mergeCell ref="AA11:AA12"/>
    <mergeCell ref="AD11:AD12"/>
    <mergeCell ref="B11:B14"/>
    <mergeCell ref="C11:C14"/>
    <mergeCell ref="D11:D14"/>
    <mergeCell ref="E11:E14"/>
    <mergeCell ref="F11:F14"/>
    <mergeCell ref="G11:G14"/>
    <mergeCell ref="H11:H12"/>
    <mergeCell ref="I11:I12"/>
    <mergeCell ref="J11:J12"/>
    <mergeCell ref="AE11:AE12"/>
    <mergeCell ref="AF11:AF12"/>
    <mergeCell ref="AG11:AH12"/>
    <mergeCell ref="AI11:AJ12"/>
    <mergeCell ref="H13:H14"/>
    <mergeCell ref="I13:I14"/>
    <mergeCell ref="J13:J14"/>
    <mergeCell ref="K13:K14"/>
    <mergeCell ref="L13:L14"/>
    <mergeCell ref="S13:S14"/>
    <mergeCell ref="T13:T14"/>
    <mergeCell ref="V13:V14"/>
    <mergeCell ref="W13:W14"/>
    <mergeCell ref="Z13:Z14"/>
    <mergeCell ref="AA13:AA14"/>
    <mergeCell ref="AD13:AD14"/>
    <mergeCell ref="AE13:AE14"/>
    <mergeCell ref="AF13:AF14"/>
    <mergeCell ref="AG13:AH14"/>
    <mergeCell ref="AI13:AJ14"/>
    <mergeCell ref="K11:K12"/>
    <mergeCell ref="L11:L12"/>
    <mergeCell ref="S11:S12"/>
    <mergeCell ref="T11:T12"/>
    <mergeCell ref="V15:V16"/>
    <mergeCell ref="W15:W16"/>
    <mergeCell ref="Z15:Z16"/>
    <mergeCell ref="AA15:AA16"/>
    <mergeCell ref="AD15:AD16"/>
    <mergeCell ref="B15:B18"/>
    <mergeCell ref="C15:C18"/>
    <mergeCell ref="D15:D18"/>
    <mergeCell ref="E15:E18"/>
    <mergeCell ref="F15:F18"/>
    <mergeCell ref="G15:G18"/>
    <mergeCell ref="H15:H16"/>
    <mergeCell ref="I15:I16"/>
    <mergeCell ref="J15:J16"/>
    <mergeCell ref="AE15:AE16"/>
    <mergeCell ref="AF15:AF16"/>
    <mergeCell ref="AG15:AH16"/>
    <mergeCell ref="AI15:AJ16"/>
    <mergeCell ref="H17:H18"/>
    <mergeCell ref="I17:I18"/>
    <mergeCell ref="J17:J18"/>
    <mergeCell ref="K17:K18"/>
    <mergeCell ref="L17:L18"/>
    <mergeCell ref="S17:S18"/>
    <mergeCell ref="T17:T18"/>
    <mergeCell ref="V17:V18"/>
    <mergeCell ref="W17:W18"/>
    <mergeCell ref="Z17:Z18"/>
    <mergeCell ref="AA17:AA18"/>
    <mergeCell ref="AD17:AD18"/>
    <mergeCell ref="AE17:AE18"/>
    <mergeCell ref="AF17:AF18"/>
    <mergeCell ref="AG17:AH18"/>
    <mergeCell ref="AI17:AJ18"/>
    <mergeCell ref="K15:K16"/>
    <mergeCell ref="L15:L16"/>
    <mergeCell ref="S15:S16"/>
    <mergeCell ref="T15:T16"/>
    <mergeCell ref="AG19:AH20"/>
    <mergeCell ref="AI19:AJ20"/>
    <mergeCell ref="H21:H22"/>
    <mergeCell ref="I21:I22"/>
    <mergeCell ref="J21:J22"/>
    <mergeCell ref="K21:K22"/>
    <mergeCell ref="L21:L22"/>
    <mergeCell ref="S21:S22"/>
    <mergeCell ref="T21:T22"/>
    <mergeCell ref="V21:V22"/>
    <mergeCell ref="W21:W22"/>
    <mergeCell ref="Z21:Z22"/>
    <mergeCell ref="AA21:AA22"/>
    <mergeCell ref="AD21:AD22"/>
    <mergeCell ref="AE21:AE22"/>
    <mergeCell ref="AF21:AF22"/>
    <mergeCell ref="AG21:AH22"/>
    <mergeCell ref="AI21:AJ22"/>
    <mergeCell ref="K19:K20"/>
    <mergeCell ref="L19:L20"/>
    <mergeCell ref="S19:S20"/>
    <mergeCell ref="T19:T20"/>
    <mergeCell ref="V19:V20"/>
    <mergeCell ref="W19:W20"/>
    <mergeCell ref="B100:B103"/>
    <mergeCell ref="C100:C103"/>
    <mergeCell ref="D100:D103"/>
    <mergeCell ref="E100:E103"/>
    <mergeCell ref="F100:F103"/>
    <mergeCell ref="H100:H101"/>
    <mergeCell ref="I100:I101"/>
    <mergeCell ref="AE19:AE20"/>
    <mergeCell ref="AF19:AF20"/>
    <mergeCell ref="Z19:Z20"/>
    <mergeCell ref="AA19:AA20"/>
    <mergeCell ref="AD19:AD20"/>
    <mergeCell ref="B19:B22"/>
    <mergeCell ref="C19:C22"/>
    <mergeCell ref="D19:D22"/>
    <mergeCell ref="E19:E22"/>
    <mergeCell ref="F19:F22"/>
    <mergeCell ref="G19:G22"/>
    <mergeCell ref="H19:H20"/>
    <mergeCell ref="I19:I20"/>
    <mergeCell ref="J19:J20"/>
    <mergeCell ref="AE96:AE97"/>
    <mergeCell ref="AF96:AF97"/>
    <mergeCell ref="AD96:AD97"/>
    <mergeCell ref="G100:G103"/>
    <mergeCell ref="L100:L101"/>
    <mergeCell ref="T100:T101"/>
    <mergeCell ref="W100:W101"/>
    <mergeCell ref="J100:J101"/>
    <mergeCell ref="K100:K101"/>
    <mergeCell ref="S100:S101"/>
    <mergeCell ref="V100:V101"/>
    <mergeCell ref="Z100:Z101"/>
    <mergeCell ref="H102:H103"/>
    <mergeCell ref="I102:I103"/>
    <mergeCell ref="J102:J103"/>
    <mergeCell ref="K102:K103"/>
    <mergeCell ref="S102:S103"/>
    <mergeCell ref="V102:V103"/>
    <mergeCell ref="Z102:Z103"/>
    <mergeCell ref="AD102:AD103"/>
    <mergeCell ref="AE102:AE103"/>
    <mergeCell ref="AF100:AF101"/>
    <mergeCell ref="AG100:AH101"/>
    <mergeCell ref="AI100:AJ101"/>
    <mergeCell ref="L102:L103"/>
    <mergeCell ref="T102:T103"/>
    <mergeCell ref="W102:W103"/>
    <mergeCell ref="AA102:AA103"/>
    <mergeCell ref="AF102:AF103"/>
    <mergeCell ref="AG102:AH103"/>
    <mergeCell ref="AI102:AJ103"/>
    <mergeCell ref="AD100:AD101"/>
    <mergeCell ref="AE100:AE101"/>
    <mergeCell ref="AA100:AA101"/>
    <mergeCell ref="B85:AJ85"/>
    <mergeCell ref="B69:B72"/>
    <mergeCell ref="C69:C72"/>
    <mergeCell ref="D69:D72"/>
    <mergeCell ref="E69:E72"/>
    <mergeCell ref="F69:F72"/>
    <mergeCell ref="G69:G72"/>
    <mergeCell ref="H69:H70"/>
    <mergeCell ref="I69:I70"/>
    <mergeCell ref="J69:J70"/>
    <mergeCell ref="K69:K70"/>
    <mergeCell ref="L69:L70"/>
    <mergeCell ref="N69:N70"/>
    <mergeCell ref="O69:O70"/>
    <mergeCell ref="S69:S70"/>
    <mergeCell ref="T69:T70"/>
    <mergeCell ref="V69:V70"/>
    <mergeCell ref="W69:W70"/>
    <mergeCell ref="Z69:Z70"/>
    <mergeCell ref="AA69:AA70"/>
    <mergeCell ref="AD69:AD70"/>
    <mergeCell ref="AE69:AE70"/>
    <mergeCell ref="AF69:AF70"/>
    <mergeCell ref="AG69:AH70"/>
    <mergeCell ref="AI69:AJ70"/>
    <mergeCell ref="H71:H72"/>
    <mergeCell ref="I71:I72"/>
    <mergeCell ref="J71:J72"/>
    <mergeCell ref="K71:K72"/>
    <mergeCell ref="L71:L72"/>
    <mergeCell ref="S71:S72"/>
    <mergeCell ref="T71:T72"/>
    <mergeCell ref="V71:V72"/>
    <mergeCell ref="Z71:Z72"/>
    <mergeCell ref="AA71:AA72"/>
    <mergeCell ref="AD71:AD72"/>
    <mergeCell ref="AE71:AE72"/>
    <mergeCell ref="AF71:AF72"/>
    <mergeCell ref="AG71:AH72"/>
    <mergeCell ref="AI71:AJ72"/>
    <mergeCell ref="S38:S39"/>
    <mergeCell ref="T38:T39"/>
    <mergeCell ref="V38:V39"/>
    <mergeCell ref="Z38:Z39"/>
    <mergeCell ref="AA38:AA39"/>
    <mergeCell ref="AD38:AD39"/>
    <mergeCell ref="AE38:AE39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AF38:AF39"/>
    <mergeCell ref="AG38:AH39"/>
    <mergeCell ref="AI38:AJ39"/>
    <mergeCell ref="B73:B76"/>
    <mergeCell ref="C73:C76"/>
    <mergeCell ref="D73:D76"/>
    <mergeCell ref="E73:E76"/>
    <mergeCell ref="F73:F76"/>
    <mergeCell ref="G73:G76"/>
    <mergeCell ref="H73:H74"/>
    <mergeCell ref="I73:I74"/>
    <mergeCell ref="J73:J74"/>
    <mergeCell ref="K73:K74"/>
    <mergeCell ref="L73:L74"/>
    <mergeCell ref="S73:S74"/>
    <mergeCell ref="T73:T74"/>
    <mergeCell ref="V73:V74"/>
    <mergeCell ref="Z73:Z74"/>
    <mergeCell ref="AA73:AA74"/>
    <mergeCell ref="AD73:AD74"/>
    <mergeCell ref="AE73:AE74"/>
    <mergeCell ref="K38:K39"/>
    <mergeCell ref="L38:L39"/>
    <mergeCell ref="AF73:AF74"/>
    <mergeCell ref="AG73:AH74"/>
    <mergeCell ref="AI73:AJ74"/>
    <mergeCell ref="H75:H76"/>
    <mergeCell ref="I75:I76"/>
    <mergeCell ref="J75:J76"/>
    <mergeCell ref="K75:K76"/>
    <mergeCell ref="L75:L76"/>
    <mergeCell ref="N75:N76"/>
    <mergeCell ref="O75:O76"/>
    <mergeCell ref="S75:S76"/>
    <mergeCell ref="T75:T76"/>
    <mergeCell ref="V75:V76"/>
    <mergeCell ref="Z75:Z76"/>
    <mergeCell ref="AA75:AA76"/>
    <mergeCell ref="AD75:AD76"/>
    <mergeCell ref="AE75:AE76"/>
    <mergeCell ref="AF75:AF76"/>
    <mergeCell ref="AG75:AH76"/>
    <mergeCell ref="AI75:AJ76"/>
    <mergeCell ref="AA40:AA41"/>
    <mergeCell ref="AD40:AD41"/>
    <mergeCell ref="AE40:AE41"/>
    <mergeCell ref="B40:B43"/>
    <mergeCell ref="C40:C43"/>
    <mergeCell ref="D40:D43"/>
    <mergeCell ref="E40:E43"/>
    <mergeCell ref="F40:F43"/>
    <mergeCell ref="G40:G43"/>
    <mergeCell ref="H40:H41"/>
    <mergeCell ref="I40:I41"/>
    <mergeCell ref="J40:J41"/>
    <mergeCell ref="AF40:AF41"/>
    <mergeCell ref="AG40:AH41"/>
    <mergeCell ref="AI40:AJ41"/>
    <mergeCell ref="H42:H43"/>
    <mergeCell ref="I42:I43"/>
    <mergeCell ref="J42:J43"/>
    <mergeCell ref="K42:K43"/>
    <mergeCell ref="L42:L43"/>
    <mergeCell ref="S42:S43"/>
    <mergeCell ref="T42:T43"/>
    <mergeCell ref="V42:V43"/>
    <mergeCell ref="Z42:Z43"/>
    <mergeCell ref="AA42:AA43"/>
    <mergeCell ref="AD42:AD43"/>
    <mergeCell ref="AE42:AE43"/>
    <mergeCell ref="AF42:AF43"/>
    <mergeCell ref="AG42:AH43"/>
    <mergeCell ref="AI42:AJ43"/>
    <mergeCell ref="K40:K41"/>
    <mergeCell ref="L40:L41"/>
    <mergeCell ref="S40:S41"/>
    <mergeCell ref="T40:T41"/>
    <mergeCell ref="V40:V41"/>
    <mergeCell ref="Z40:Z41"/>
    <mergeCell ref="Z44:Z45"/>
    <mergeCell ref="AA44:AA45"/>
    <mergeCell ref="AD44:AD45"/>
    <mergeCell ref="AE44:AE45"/>
    <mergeCell ref="B44:B47"/>
    <mergeCell ref="C44:C47"/>
    <mergeCell ref="D44:D47"/>
    <mergeCell ref="E44:E47"/>
    <mergeCell ref="F44:F47"/>
    <mergeCell ref="G44:G47"/>
    <mergeCell ref="H44:H45"/>
    <mergeCell ref="I44:I45"/>
    <mergeCell ref="J44:J45"/>
    <mergeCell ref="AF44:AF45"/>
    <mergeCell ref="AG44:AH45"/>
    <mergeCell ref="AI44:AJ45"/>
    <mergeCell ref="H46:H47"/>
    <mergeCell ref="I46:I47"/>
    <mergeCell ref="J46:J47"/>
    <mergeCell ref="K46:K47"/>
    <mergeCell ref="L46:L47"/>
    <mergeCell ref="S46:S47"/>
    <mergeCell ref="T46:T47"/>
    <mergeCell ref="V46:V47"/>
    <mergeCell ref="W46:W47"/>
    <mergeCell ref="Z46:Z47"/>
    <mergeCell ref="AA46:AA47"/>
    <mergeCell ref="AD46:AD47"/>
    <mergeCell ref="AE46:AE47"/>
    <mergeCell ref="AF46:AF47"/>
    <mergeCell ref="AG46:AH47"/>
    <mergeCell ref="AI46:AJ47"/>
    <mergeCell ref="K44:K45"/>
    <mergeCell ref="L44:L45"/>
    <mergeCell ref="S44:S45"/>
    <mergeCell ref="T44:T45"/>
    <mergeCell ref="V44:V45"/>
    <mergeCell ref="Z48:Z49"/>
    <mergeCell ref="AA48:AA49"/>
    <mergeCell ref="AD48:AD49"/>
    <mergeCell ref="AE48:AE49"/>
    <mergeCell ref="B48:B51"/>
    <mergeCell ref="C48:C51"/>
    <mergeCell ref="D48:D51"/>
    <mergeCell ref="E48:E51"/>
    <mergeCell ref="F48:F51"/>
    <mergeCell ref="G48:G51"/>
    <mergeCell ref="H48:H49"/>
    <mergeCell ref="I48:I49"/>
    <mergeCell ref="J48:J49"/>
    <mergeCell ref="AF48:AF49"/>
    <mergeCell ref="AG48:AH49"/>
    <mergeCell ref="AI48:AJ49"/>
    <mergeCell ref="H50:H51"/>
    <mergeCell ref="I50:I51"/>
    <mergeCell ref="J50:J51"/>
    <mergeCell ref="K50:K51"/>
    <mergeCell ref="L50:L51"/>
    <mergeCell ref="S50:S51"/>
    <mergeCell ref="T50:T51"/>
    <mergeCell ref="V50:V51"/>
    <mergeCell ref="W50:W51"/>
    <mergeCell ref="Z50:Z51"/>
    <mergeCell ref="AA50:AA51"/>
    <mergeCell ref="AD50:AD51"/>
    <mergeCell ref="AE50:AE51"/>
    <mergeCell ref="AF50:AF51"/>
    <mergeCell ref="AG50:AH51"/>
    <mergeCell ref="AI50:AJ51"/>
    <mergeCell ref="K48:K49"/>
    <mergeCell ref="L48:L49"/>
    <mergeCell ref="S48:S49"/>
    <mergeCell ref="T48:T49"/>
    <mergeCell ref="V48:V49"/>
    <mergeCell ref="V104:V105"/>
    <mergeCell ref="Z104:Z105"/>
    <mergeCell ref="AA104:AA105"/>
    <mergeCell ref="AD104:AD105"/>
    <mergeCell ref="B104:B107"/>
    <mergeCell ref="C104:C107"/>
    <mergeCell ref="D104:D107"/>
    <mergeCell ref="E104:E107"/>
    <mergeCell ref="F104:F107"/>
    <mergeCell ref="G104:G107"/>
    <mergeCell ref="H104:H105"/>
    <mergeCell ref="I104:I105"/>
    <mergeCell ref="J104:J105"/>
    <mergeCell ref="AE104:AE105"/>
    <mergeCell ref="AF104:AF105"/>
    <mergeCell ref="AG104:AH105"/>
    <mergeCell ref="AI104:AJ105"/>
    <mergeCell ref="H106:H107"/>
    <mergeCell ref="I106:I107"/>
    <mergeCell ref="J106:J107"/>
    <mergeCell ref="K106:K107"/>
    <mergeCell ref="L106:L107"/>
    <mergeCell ref="S106:S107"/>
    <mergeCell ref="T106:T107"/>
    <mergeCell ref="V106:V107"/>
    <mergeCell ref="W106:W107"/>
    <mergeCell ref="Z106:Z107"/>
    <mergeCell ref="AA106:AA107"/>
    <mergeCell ref="AD106:AD107"/>
    <mergeCell ref="AE106:AE107"/>
    <mergeCell ref="AF106:AF107"/>
    <mergeCell ref="AG106:AH107"/>
    <mergeCell ref="AI106:AJ107"/>
    <mergeCell ref="K104:K105"/>
    <mergeCell ref="L104:L105"/>
    <mergeCell ref="S104:S105"/>
    <mergeCell ref="T104:T105"/>
    <mergeCell ref="K94:K95"/>
    <mergeCell ref="L94:L95"/>
    <mergeCell ref="Z94:Z95"/>
    <mergeCell ref="AA94:AA95"/>
    <mergeCell ref="AD94:AD95"/>
    <mergeCell ref="AE94:AE95"/>
    <mergeCell ref="AF94:AF95"/>
    <mergeCell ref="AG94:AH95"/>
    <mergeCell ref="AI94:AJ95"/>
    <mergeCell ref="V94:V95"/>
    <mergeCell ref="S94:S95"/>
    <mergeCell ref="T94:T95"/>
    <mergeCell ref="AA77:AA78"/>
    <mergeCell ref="AD77:AD78"/>
    <mergeCell ref="AE77:AE78"/>
    <mergeCell ref="B77:B80"/>
    <mergeCell ref="C77:C80"/>
    <mergeCell ref="D77:D80"/>
    <mergeCell ref="E77:E80"/>
    <mergeCell ref="F77:F80"/>
    <mergeCell ref="G77:G80"/>
    <mergeCell ref="H77:H78"/>
    <mergeCell ref="I77:I78"/>
    <mergeCell ref="J77:J78"/>
    <mergeCell ref="AF77:AF78"/>
    <mergeCell ref="AG77:AH78"/>
    <mergeCell ref="AI77:AJ78"/>
    <mergeCell ref="H79:H80"/>
    <mergeCell ref="I79:I80"/>
    <mergeCell ref="J79:J80"/>
    <mergeCell ref="K79:K80"/>
    <mergeCell ref="L79:L80"/>
    <mergeCell ref="S79:S80"/>
    <mergeCell ref="T79:T80"/>
    <mergeCell ref="V79:V80"/>
    <mergeCell ref="Z79:Z80"/>
    <mergeCell ref="AA79:AA80"/>
    <mergeCell ref="AD79:AD80"/>
    <mergeCell ref="AE79:AE80"/>
    <mergeCell ref="AF79:AF80"/>
    <mergeCell ref="AG79:AH80"/>
    <mergeCell ref="AI79:AJ80"/>
    <mergeCell ref="K77:K78"/>
    <mergeCell ref="L77:L78"/>
    <mergeCell ref="S77:S78"/>
    <mergeCell ref="T77:T78"/>
    <mergeCell ref="V77:V78"/>
    <mergeCell ref="Z77:Z78"/>
    <mergeCell ref="B54:B55"/>
    <mergeCell ref="C54:C55"/>
    <mergeCell ref="D54:D55"/>
    <mergeCell ref="E54:E55"/>
    <mergeCell ref="F54:F55"/>
    <mergeCell ref="G54:G55"/>
    <mergeCell ref="H54:H55"/>
    <mergeCell ref="I54:I55"/>
    <mergeCell ref="J54:J55"/>
    <mergeCell ref="AE54:AE55"/>
    <mergeCell ref="AF54:AF55"/>
    <mergeCell ref="AG54:AH55"/>
    <mergeCell ref="AI54:AJ55"/>
    <mergeCell ref="K54:K55"/>
    <mergeCell ref="L54:L55"/>
    <mergeCell ref="S54:S55"/>
    <mergeCell ref="T54:T55"/>
    <mergeCell ref="V54:V55"/>
    <mergeCell ref="Z54:Z55"/>
    <mergeCell ref="AA54:AA55"/>
    <mergeCell ref="AD54:AD55"/>
    <mergeCell ref="AA81:AA82"/>
    <mergeCell ref="AD81:AD82"/>
    <mergeCell ref="AE81:AE82"/>
    <mergeCell ref="B81:B84"/>
    <mergeCell ref="C81:C84"/>
    <mergeCell ref="D81:D84"/>
    <mergeCell ref="E81:E84"/>
    <mergeCell ref="F81:F84"/>
    <mergeCell ref="G81:G84"/>
    <mergeCell ref="H81:H82"/>
    <mergeCell ref="I81:I82"/>
    <mergeCell ref="J81:J82"/>
    <mergeCell ref="AF81:AF82"/>
    <mergeCell ref="AG81:AH82"/>
    <mergeCell ref="AI81:AJ82"/>
    <mergeCell ref="H83:H84"/>
    <mergeCell ref="I83:I84"/>
    <mergeCell ref="J83:J84"/>
    <mergeCell ref="K83:K84"/>
    <mergeCell ref="L83:L84"/>
    <mergeCell ref="S83:S84"/>
    <mergeCell ref="T83:T84"/>
    <mergeCell ref="V83:V84"/>
    <mergeCell ref="Z83:Z84"/>
    <mergeCell ref="AA83:AA84"/>
    <mergeCell ref="AD83:AD84"/>
    <mergeCell ref="AE83:AE84"/>
    <mergeCell ref="AF83:AF84"/>
    <mergeCell ref="AG83:AH84"/>
    <mergeCell ref="AI83:AJ84"/>
    <mergeCell ref="K81:K82"/>
    <mergeCell ref="L81:L82"/>
    <mergeCell ref="S81:S82"/>
    <mergeCell ref="T81:T82"/>
    <mergeCell ref="V81:V82"/>
    <mergeCell ref="Z81:Z82"/>
  </mergeCells>
  <phoneticPr fontId="2" type="noConversion"/>
  <conditionalFormatting sqref="O1 O4:O5 O7:O22 O86:O1048576">
    <cfRule type="cellIs" dxfId="50" priority="137" operator="equal">
      <formula>"미달"</formula>
    </cfRule>
  </conditionalFormatting>
  <conditionalFormatting sqref="O24:O55">
    <cfRule type="cellIs" dxfId="49" priority="12" operator="equal">
      <formula>"미달"</formula>
    </cfRule>
  </conditionalFormatting>
  <conditionalFormatting sqref="O57:O65 O67">
    <cfRule type="cellIs" dxfId="48" priority="106" operator="equal">
      <formula>"미달"</formula>
    </cfRule>
  </conditionalFormatting>
  <conditionalFormatting sqref="O69">
    <cfRule type="cellIs" dxfId="47" priority="27" operator="equal">
      <formula>"미달"</formula>
    </cfRule>
  </conditionalFormatting>
  <conditionalFormatting sqref="O71:O75">
    <cfRule type="cellIs" dxfId="46" priority="20" operator="equal">
      <formula>"미달"</formula>
    </cfRule>
  </conditionalFormatting>
  <conditionalFormatting sqref="O77:O84">
    <cfRule type="cellIs" dxfId="45" priority="2" operator="equal">
      <formula>"미달"</formula>
    </cfRule>
  </conditionalFormatting>
  <conditionalFormatting sqref="U7:U22 U86:U107">
    <cfRule type="containsText" dxfId="44" priority="40" operator="containsText" text="미달">
      <formula>NOT(ISERROR(SEARCH("미달",U7)))</formula>
    </cfRule>
  </conditionalFormatting>
  <conditionalFormatting sqref="U24:U55">
    <cfRule type="containsText" dxfId="43" priority="3" operator="containsText" text="미달">
      <formula>NOT(ISERROR(SEARCH("미달",U24)))</formula>
    </cfRule>
  </conditionalFormatting>
  <conditionalFormatting sqref="U57:U84">
    <cfRule type="containsText" dxfId="42" priority="101" operator="containsText" text="미달">
      <formula>NOT(ISERROR(SEARCH("미달",U57)))</formula>
    </cfRule>
  </conditionalFormatting>
  <conditionalFormatting sqref="Y7:Y22 Y86:Y107">
    <cfRule type="containsText" dxfId="41" priority="39" operator="containsText" text="미달">
      <formula>NOT(ISERROR(SEARCH("미달",Y7)))</formula>
    </cfRule>
  </conditionalFormatting>
  <conditionalFormatting sqref="Y24:Y55">
    <cfRule type="containsText" dxfId="40" priority="10" operator="containsText" text="미달">
      <formula>NOT(ISERROR(SEARCH("미달",Y24)))</formula>
    </cfRule>
  </conditionalFormatting>
  <conditionalFormatting sqref="Y57:Y84">
    <cfRule type="containsText" dxfId="39" priority="23" operator="containsText" text="미달">
      <formula>NOT(ISERROR(SEARCH("미달",Y57)))</formula>
    </cfRule>
  </conditionalFormatting>
  <conditionalFormatting sqref="AC8">
    <cfRule type="containsText" dxfId="38" priority="132" operator="containsText" text="미달">
      <formula>NOT(ISERROR(SEARCH("미달",AC8)))</formula>
    </cfRule>
  </conditionalFormatting>
  <conditionalFormatting sqref="AC10">
    <cfRule type="containsText" dxfId="37" priority="110" operator="containsText" text="미달">
      <formula>NOT(ISERROR(SEARCH("미달",AC10)))</formula>
    </cfRule>
  </conditionalFormatting>
  <conditionalFormatting sqref="AC12">
    <cfRule type="containsText" dxfId="36" priority="57" operator="containsText" text="미달">
      <formula>NOT(ISERROR(SEARCH("미달",AC12)))</formula>
    </cfRule>
  </conditionalFormatting>
  <conditionalFormatting sqref="AC14">
    <cfRule type="containsText" dxfId="35" priority="60" operator="containsText" text="미달">
      <formula>NOT(ISERROR(SEARCH("미달",AC14)))</formula>
    </cfRule>
  </conditionalFormatting>
  <conditionalFormatting sqref="AC16">
    <cfRule type="containsText" dxfId="34" priority="35" operator="containsText" text="미달">
      <formula>NOT(ISERROR(SEARCH("미달",AC16)))</formula>
    </cfRule>
  </conditionalFormatting>
  <conditionalFormatting sqref="AC18 AC22">
    <cfRule type="containsText" dxfId="33" priority="37" operator="containsText" text="미달">
      <formula>NOT(ISERROR(SEARCH("미달",AC18)))</formula>
    </cfRule>
  </conditionalFormatting>
  <conditionalFormatting sqref="AC20">
    <cfRule type="containsText" dxfId="32" priority="34" operator="containsText" text="미달">
      <formula>NOT(ISERROR(SEARCH("미달",AC20)))</formula>
    </cfRule>
  </conditionalFormatting>
  <conditionalFormatting sqref="AC25">
    <cfRule type="containsText" dxfId="31" priority="109" operator="containsText" text="미달">
      <formula>NOT(ISERROR(SEARCH("미달",AC25)))</formula>
    </cfRule>
  </conditionalFormatting>
  <conditionalFormatting sqref="AC27">
    <cfRule type="containsText" dxfId="30" priority="108" operator="containsText" text="미달">
      <formula>NOT(ISERROR(SEARCH("미달",AC27)))</formula>
    </cfRule>
  </conditionalFormatting>
  <conditionalFormatting sqref="AC29">
    <cfRule type="containsText" dxfId="29" priority="107" operator="containsText" text="미달">
      <formula>NOT(ISERROR(SEARCH("미달",AC29)))</formula>
    </cfRule>
  </conditionalFormatting>
  <conditionalFormatting sqref="AC31">
    <cfRule type="containsText" dxfId="28" priority="74" operator="containsText" text="미달">
      <formula>NOT(ISERROR(SEARCH("미달",AC31)))</formula>
    </cfRule>
  </conditionalFormatting>
  <conditionalFormatting sqref="AC33">
    <cfRule type="containsText" dxfId="27" priority="75" operator="containsText" text="미달">
      <formula>NOT(ISERROR(SEARCH("미달",AC33)))</formula>
    </cfRule>
  </conditionalFormatting>
  <conditionalFormatting sqref="AC35">
    <cfRule type="containsText" dxfId="26" priority="94" operator="containsText" text="미달">
      <formula>NOT(ISERROR(SEARCH("미달",AC35)))</formula>
    </cfRule>
  </conditionalFormatting>
  <conditionalFormatting sqref="AC37">
    <cfRule type="containsText" dxfId="25" priority="95" operator="containsText" text="미달">
      <formula>NOT(ISERROR(SEARCH("미달",AC37)))</formula>
    </cfRule>
  </conditionalFormatting>
  <conditionalFormatting sqref="AC39">
    <cfRule type="containsText" dxfId="24" priority="24" operator="containsText" text="미달">
      <formula>NOT(ISERROR(SEARCH("미달",AC39)))</formula>
    </cfRule>
  </conditionalFormatting>
  <conditionalFormatting sqref="AC41">
    <cfRule type="containsText" dxfId="23" priority="18" operator="containsText" text="미달">
      <formula>NOT(ISERROR(SEARCH("미달",AC41)))</formula>
    </cfRule>
  </conditionalFormatting>
  <conditionalFormatting sqref="AC43 AC47 AC51">
    <cfRule type="containsText" dxfId="22" priority="17" operator="containsText" text="미달">
      <formula>NOT(ISERROR(SEARCH("미달",AC43)))</formula>
    </cfRule>
  </conditionalFormatting>
  <conditionalFormatting sqref="AC45">
    <cfRule type="containsText" dxfId="21" priority="16" operator="containsText" text="미달">
      <formula>NOT(ISERROR(SEARCH("미달",AC45)))</formula>
    </cfRule>
  </conditionalFormatting>
  <conditionalFormatting sqref="AC49">
    <cfRule type="containsText" dxfId="20" priority="15" operator="containsText" text="미달">
      <formula>NOT(ISERROR(SEARCH("미달",AC49)))</formula>
    </cfRule>
  </conditionalFormatting>
  <conditionalFormatting sqref="AC53 AC55">
    <cfRule type="containsText" dxfId="19" priority="8" operator="containsText" text="미달">
      <formula>NOT(ISERROR(SEARCH("미달",AC53)))</formula>
    </cfRule>
  </conditionalFormatting>
  <conditionalFormatting sqref="AC58">
    <cfRule type="containsText" dxfId="18" priority="124" operator="containsText" text="미달">
      <formula>NOT(ISERROR(SEARCH("미달",AC58)))</formula>
    </cfRule>
  </conditionalFormatting>
  <conditionalFormatting sqref="AC60">
    <cfRule type="containsText" dxfId="17" priority="126" operator="containsText" text="미달">
      <formula>NOT(ISERROR(SEARCH("미달",AC60)))</formula>
    </cfRule>
  </conditionalFormatting>
  <conditionalFormatting sqref="AC62">
    <cfRule type="containsText" dxfId="16" priority="100" operator="containsText" text="미달">
      <formula>NOT(ISERROR(SEARCH("미달",AC62)))</formula>
    </cfRule>
  </conditionalFormatting>
  <conditionalFormatting sqref="AC64 AC68 AC72 AC76 AC80 AC84">
    <cfRule type="containsText" dxfId="15" priority="102" operator="containsText" text="미달">
      <formula>NOT(ISERROR(SEARCH("미달",AC64)))</formula>
    </cfRule>
  </conditionalFormatting>
  <conditionalFormatting sqref="AC66">
    <cfRule type="containsText" dxfId="14" priority="28" operator="containsText" text="미달">
      <formula>NOT(ISERROR(SEARCH("미달",AC66)))</formula>
    </cfRule>
  </conditionalFormatting>
  <conditionalFormatting sqref="AC70">
    <cfRule type="containsText" dxfId="13" priority="26" operator="containsText" text="미달">
      <formula>NOT(ISERROR(SEARCH("미달",AC70)))</formula>
    </cfRule>
  </conditionalFormatting>
  <conditionalFormatting sqref="AC74">
    <cfRule type="containsText" dxfId="12" priority="21" operator="containsText" text="미달">
      <formula>NOT(ISERROR(SEARCH("미달",AC74)))</formula>
    </cfRule>
  </conditionalFormatting>
  <conditionalFormatting sqref="AC78">
    <cfRule type="containsText" dxfId="11" priority="6" operator="containsText" text="미달">
      <formula>NOT(ISERROR(SEARCH("미달",AC78)))</formula>
    </cfRule>
  </conditionalFormatting>
  <conditionalFormatting sqref="AC82">
    <cfRule type="containsText" dxfId="10" priority="1" operator="containsText" text="미달">
      <formula>NOT(ISERROR(SEARCH("미달",AC82)))</formula>
    </cfRule>
  </conditionalFormatting>
  <conditionalFormatting sqref="AC87">
    <cfRule type="containsText" dxfId="9" priority="51" operator="containsText" text="미달">
      <formula>NOT(ISERROR(SEARCH("미달",AC87)))</formula>
    </cfRule>
  </conditionalFormatting>
  <conditionalFormatting sqref="AC89">
    <cfRule type="containsText" dxfId="8" priority="52" operator="containsText" text="미달">
      <formula>NOT(ISERROR(SEARCH("미달",AC89)))</formula>
    </cfRule>
  </conditionalFormatting>
  <conditionalFormatting sqref="AC91">
    <cfRule type="containsText" dxfId="7" priority="43" operator="containsText" text="미달">
      <formula>NOT(ISERROR(SEARCH("미달",AC91)))</formula>
    </cfRule>
  </conditionalFormatting>
  <conditionalFormatting sqref="AC93 AC95">
    <cfRule type="containsText" dxfId="6" priority="42" operator="containsText" text="미달">
      <formula>NOT(ISERROR(SEARCH("미달",AC93)))</formula>
    </cfRule>
  </conditionalFormatting>
  <conditionalFormatting sqref="AC97">
    <cfRule type="containsText" dxfId="5" priority="66" operator="containsText" text="미달">
      <formula>NOT(ISERROR(SEARCH("미달",AC97)))</formula>
    </cfRule>
  </conditionalFormatting>
  <conditionalFormatting sqref="AC99">
    <cfRule type="containsText" dxfId="4" priority="65" operator="containsText" text="미달">
      <formula>NOT(ISERROR(SEARCH("미달",AC99)))</formula>
    </cfRule>
  </conditionalFormatting>
  <conditionalFormatting sqref="AC101">
    <cfRule type="containsText" dxfId="3" priority="7" operator="containsText" text="미달">
      <formula>NOT(ISERROR(SEARCH("미달",AC101)))</formula>
    </cfRule>
  </conditionalFormatting>
  <conditionalFormatting sqref="AC103">
    <cfRule type="containsText" dxfId="2" priority="29" operator="containsText" text="미달">
      <formula>NOT(ISERROR(SEARCH("미달",AC103)))</formula>
    </cfRule>
  </conditionalFormatting>
  <conditionalFormatting sqref="AC105">
    <cfRule type="containsText" dxfId="1" priority="14" operator="containsText" text="미달">
      <formula>NOT(ISERROR(SEARCH("미달",AC105)))</formula>
    </cfRule>
  </conditionalFormatting>
  <conditionalFormatting sqref="AC107">
    <cfRule type="containsText" dxfId="0" priority="13" operator="containsText" text="미달">
      <formula>NOT(ISERROR(SEARCH("미달",AC107)))</formula>
    </cfRule>
  </conditionalFormatting>
  <dataValidations disablePrompts="1" count="1">
    <dataValidation type="list" allowBlank="1" showInputMessage="1" showErrorMessage="1" sqref="F7 F57 F59 F28 F61 F34 F30 F94 F11 F86 F15 F19 F100 F65 F69 F38 F73 F40 F44 F48 F24 F104 F90 F52 F77 F54 F81" xr:uid="{18228A9F-2893-41D0-92C4-24C97B058FDE}">
      <formula1>"현대화,유지관리(사후관리),유지관리(블록별),유지관리(누수탐사)"</formula1>
    </dataValidation>
  </dataValidations>
  <pageMargins left="0.7" right="0.7" top="0.75" bottom="0.75" header="0.3" footer="0.3"/>
  <pageSetup paperSize="8" scale="29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AB79-21D3-4021-9AF6-AF92AF6B6287}">
  <sheetPr codeName="Sheet2"/>
  <dimension ref="A1:C24"/>
  <sheetViews>
    <sheetView workbookViewId="0">
      <selection activeCell="A26" sqref="A26"/>
    </sheetView>
  </sheetViews>
  <sheetFormatPr defaultRowHeight="16.5" x14ac:dyDescent="0.3"/>
  <cols>
    <col min="3" max="3" width="18.625" bestFit="1" customWidth="1"/>
  </cols>
  <sheetData>
    <row r="1" spans="1:3" x14ac:dyDescent="0.3">
      <c r="A1" s="52" t="s">
        <v>55</v>
      </c>
      <c r="B1" s="53" t="s">
        <v>56</v>
      </c>
      <c r="C1" s="54" t="s">
        <v>57</v>
      </c>
    </row>
    <row r="2" spans="1:3" x14ac:dyDescent="0.3">
      <c r="A2" s="50" t="s">
        <v>11</v>
      </c>
      <c r="B2" s="49" t="s">
        <v>12</v>
      </c>
      <c r="C2" s="51" t="s">
        <v>58</v>
      </c>
    </row>
    <row r="3" spans="1:3" x14ac:dyDescent="0.3">
      <c r="A3" s="50" t="s">
        <v>48</v>
      </c>
      <c r="B3" s="49" t="s">
        <v>60</v>
      </c>
      <c r="C3" s="51" t="s">
        <v>58</v>
      </c>
    </row>
    <row r="4" spans="1:3" x14ac:dyDescent="0.3">
      <c r="A4" s="50" t="s">
        <v>61</v>
      </c>
      <c r="B4" s="49" t="s">
        <v>62</v>
      </c>
      <c r="C4" s="51" t="s">
        <v>58</v>
      </c>
    </row>
    <row r="5" spans="1:3" x14ac:dyDescent="0.3">
      <c r="A5" s="50" t="s">
        <v>34</v>
      </c>
      <c r="B5" s="49" t="s">
        <v>35</v>
      </c>
      <c r="C5" s="51" t="s">
        <v>63</v>
      </c>
    </row>
    <row r="6" spans="1:3" x14ac:dyDescent="0.3">
      <c r="A6" s="50" t="s">
        <v>51</v>
      </c>
      <c r="B6" s="49" t="s">
        <v>52</v>
      </c>
      <c r="C6" s="51" t="s">
        <v>63</v>
      </c>
    </row>
    <row r="7" spans="1:3" x14ac:dyDescent="0.3">
      <c r="A7" s="50" t="s">
        <v>64</v>
      </c>
      <c r="B7" s="49" t="s">
        <v>65</v>
      </c>
      <c r="C7" s="51" t="s">
        <v>63</v>
      </c>
    </row>
    <row r="8" spans="1:3" x14ac:dyDescent="0.3">
      <c r="A8" s="50" t="s">
        <v>61</v>
      </c>
      <c r="B8" s="49" t="s">
        <v>66</v>
      </c>
      <c r="C8" s="51" t="s">
        <v>63</v>
      </c>
    </row>
    <row r="9" spans="1:3" x14ac:dyDescent="0.3">
      <c r="A9" s="50" t="s">
        <v>48</v>
      </c>
      <c r="B9" s="49" t="s">
        <v>67</v>
      </c>
      <c r="C9" s="51" t="s">
        <v>63</v>
      </c>
    </row>
    <row r="10" spans="1:3" x14ac:dyDescent="0.3">
      <c r="A10" s="50" t="s">
        <v>59</v>
      </c>
      <c r="B10" s="49" t="s">
        <v>68</v>
      </c>
      <c r="C10" s="51" t="s">
        <v>63</v>
      </c>
    </row>
    <row r="11" spans="1:3" x14ac:dyDescent="0.3">
      <c r="A11" s="50" t="s">
        <v>11</v>
      </c>
      <c r="B11" s="49" t="s">
        <v>69</v>
      </c>
      <c r="C11" s="51" t="s">
        <v>63</v>
      </c>
    </row>
    <row r="12" spans="1:3" x14ac:dyDescent="0.3">
      <c r="A12" s="50" t="s">
        <v>38</v>
      </c>
      <c r="B12" s="49" t="s">
        <v>39</v>
      </c>
      <c r="C12" s="51" t="s">
        <v>70</v>
      </c>
    </row>
    <row r="13" spans="1:3" x14ac:dyDescent="0.3">
      <c r="A13" s="50" t="s">
        <v>38</v>
      </c>
      <c r="B13" s="49" t="s">
        <v>43</v>
      </c>
      <c r="C13" s="51" t="s">
        <v>70</v>
      </c>
    </row>
    <row r="14" spans="1:3" x14ac:dyDescent="0.3">
      <c r="A14" s="50" t="s">
        <v>48</v>
      </c>
      <c r="B14" s="49" t="s">
        <v>71</v>
      </c>
      <c r="C14" s="51" t="s">
        <v>70</v>
      </c>
    </row>
    <row r="15" spans="1:3" x14ac:dyDescent="0.3">
      <c r="A15" s="50" t="s">
        <v>48</v>
      </c>
      <c r="B15" s="49" t="s">
        <v>72</v>
      </c>
      <c r="C15" s="51" t="s">
        <v>70</v>
      </c>
    </row>
    <row r="16" spans="1:3" x14ac:dyDescent="0.3">
      <c r="A16" s="50" t="s">
        <v>73</v>
      </c>
      <c r="B16" s="49" t="s">
        <v>74</v>
      </c>
      <c r="C16" s="51" t="s">
        <v>70</v>
      </c>
    </row>
    <row r="17" spans="1:3" x14ac:dyDescent="0.3">
      <c r="A17" s="50" t="s">
        <v>48</v>
      </c>
      <c r="B17" s="49" t="s">
        <v>75</v>
      </c>
      <c r="C17" s="51" t="s">
        <v>70</v>
      </c>
    </row>
    <row r="18" spans="1:3" x14ac:dyDescent="0.3">
      <c r="A18" s="50" t="s">
        <v>48</v>
      </c>
      <c r="B18" s="49" t="s">
        <v>49</v>
      </c>
      <c r="C18" s="51" t="s">
        <v>76</v>
      </c>
    </row>
    <row r="19" spans="1:3" x14ac:dyDescent="0.3">
      <c r="A19" s="50" t="s">
        <v>64</v>
      </c>
      <c r="B19" s="49" t="s">
        <v>77</v>
      </c>
      <c r="C19" s="51" t="s">
        <v>76</v>
      </c>
    </row>
    <row r="20" spans="1:3" x14ac:dyDescent="0.3">
      <c r="A20" s="50" t="s">
        <v>64</v>
      </c>
      <c r="B20" s="49" t="s">
        <v>78</v>
      </c>
      <c r="C20" s="51" t="s">
        <v>76</v>
      </c>
    </row>
    <row r="21" spans="1:3" x14ac:dyDescent="0.3">
      <c r="A21" s="50" t="s">
        <v>61</v>
      </c>
      <c r="B21" s="49" t="s">
        <v>62</v>
      </c>
      <c r="C21" s="51" t="s">
        <v>76</v>
      </c>
    </row>
    <row r="22" spans="1:3" x14ac:dyDescent="0.3">
      <c r="A22" s="50" t="s">
        <v>79</v>
      </c>
      <c r="B22" s="49" t="s">
        <v>80</v>
      </c>
      <c r="C22" s="51" t="s">
        <v>76</v>
      </c>
    </row>
    <row r="23" spans="1:3" x14ac:dyDescent="0.3">
      <c r="A23" s="50" t="s">
        <v>61</v>
      </c>
      <c r="B23" s="49" t="s">
        <v>81</v>
      </c>
      <c r="C23" s="51" t="s">
        <v>76</v>
      </c>
    </row>
    <row r="24" spans="1:3" x14ac:dyDescent="0.3">
      <c r="A24" s="55" t="s">
        <v>48</v>
      </c>
      <c r="B24" s="56" t="s">
        <v>82</v>
      </c>
      <c r="C24" s="57" t="s">
        <v>76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E5BF2C38BD964D9150B630148FD2BF" ma:contentTypeVersion="4" ma:contentTypeDescription="Create a new document." ma:contentTypeScope="" ma:versionID="ab1fec137ac1428ac6326b4b9a5f09fd">
  <xsd:schema xmlns:xsd="http://www.w3.org/2001/XMLSchema" xmlns:xs="http://www.w3.org/2001/XMLSchema" xmlns:p="http://schemas.microsoft.com/office/2006/metadata/properties" xmlns:ns3="31998615-a648-4160-b406-b88918d839d9" targetNamespace="http://schemas.microsoft.com/office/2006/metadata/properties" ma:root="true" ma:fieldsID="eb14da146f44c98d51ac01e7cbb5bbbc" ns3:_="">
    <xsd:import namespace="31998615-a648-4160-b406-b88918d839d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98615-a648-4160-b406-b88918d839d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FE107-844A-4185-9C0F-3B85BB843BF4}">
  <ds:schemaRefs>
    <ds:schemaRef ds:uri="http://www.w3.org/XML/1998/namespace"/>
    <ds:schemaRef ds:uri="31998615-a648-4160-b406-b88918d839d9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98302E21-CD5E-475A-953B-0622E7A43A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B457B2-3B8F-4F97-9C89-5A0FD10401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998615-a648-4160-b406-b88918d839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요약</vt:lpstr>
      <vt:lpstr>목표유수율 현장</vt:lpstr>
      <vt:lpstr>목표유수율 관리 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KYJ</dc:creator>
  <cp:lastModifiedBy>KYJ</cp:lastModifiedBy>
  <cp:lastPrinted>2025-11-07T08:04:29Z</cp:lastPrinted>
  <dcterms:created xsi:type="dcterms:W3CDTF">2025-11-07T02:22:42Z</dcterms:created>
  <dcterms:modified xsi:type="dcterms:W3CDTF">2026-03-24T08:55:46Z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0x01010014E5BF2C38BD964D9150B630148FD2BF</vt:lpwstr>
  </property>
</Properties>
</file>